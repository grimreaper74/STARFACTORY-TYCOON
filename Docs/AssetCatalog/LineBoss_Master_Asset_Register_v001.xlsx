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b7ede714bc4b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a9d2fbd635ed4e5b"/>
    <x:sheet xmlns:r="http://schemas.openxmlformats.org/officeDocument/2006/relationships" name="Asset Families" sheetId="2" r:id="R9cf3584db5034f69"/>
    <x:sheet xmlns:r="http://schemas.openxmlformats.org/officeDocument/2006/relationships" name="Source Files" sheetId="3" r:id="R22bface8733c4668"/>
    <x:sheet xmlns:r="http://schemas.openxmlformats.org/officeDocument/2006/relationships" name="Runtime Bindings" sheetId="4" r:id="Re51ad67f2ee74af3"/>
    <x:sheet xmlns:r="http://schemas.openxmlformats.org/officeDocument/2006/relationships" name="Status Definitions" sheetId="5" r:id="R56122fbd66bd4e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 hh:mm"/>
    <x:numFmt numFmtId="201" formatCode="#,##0"/>
    <x:numFmt numFmtId="202" formatCode="#,##0&quot; bytes&quot;"/>
    <x:numFmt numFmtId="203" formatCode="yyyy-mm-dd"/>
    <x:numFmt numFmtId="204" formatCode="0"/>
  </x:numFmts>
  <x:fonts count="9">
    <x:font>
      <x:sz val="11"/>
      <x:name val="Carlito"/>
    </x:font>
    <x:font>
      <x:b/>
      <x:sz val="20"/>
      <x:color rgb="FFFFFFFF"/>
      <x:name val="Aptos Display"/>
    </x:font>
    <x:font>
      <x:sz val="10"/>
      <x:color rgb="FF43546A"/>
      <x:name val="Aptos"/>
    </x:font>
    <x:font>
      <x:b/>
      <x:sz val="10"/>
      <x:color rgb="FFFFFFFF"/>
      <x:name val="Aptos"/>
    </x:font>
    <x:font>
      <x:sz val="9"/>
      <x:color rgb="FF172033"/>
      <x:name val="Aptos"/>
    </x:font>
    <x:font>
      <x:b/>
      <x:sz val="9"/>
      <x:color rgb="FFFFFFFF"/>
      <x:name val="Aptos"/>
    </x:font>
    <x:font>
      <x:b/>
      <x:sz val="22"/>
      <x:color rgb="FF15253B"/>
      <x:name val="Aptos Display"/>
    </x:font>
    <x:font>
      <x:b/>
      <x:sz val="11"/>
      <x:color rgb="FFFFFFFF"/>
      <x:name val="Aptos"/>
    </x:font>
    <x:font>
      <x:sz val="10"/>
      <x:color rgb="FF172033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5253B"/>
      </x:patternFill>
    </x:fill>
    <x:fill>
      <x:patternFill patternType="solid">
        <x:fgColor rgb="FFEEF3F8"/>
      </x:patternFill>
    </x:fill>
    <x:fill>
      <x:patternFill patternType="solid">
        <x:fgColor rgb="FF2166A5"/>
      </x:patternFill>
    </x:fill>
    <x:fill>
      <x:patternFill patternType="solid">
        <x:fgColor rgb="FF43546A"/>
      </x:patternFill>
    </x:fill>
    <x:fill>
      <x:patternFill patternType="solid">
        <x:fgColor rgb="FFFFFFFF"/>
      </x:patternFill>
    </x:fill>
  </x:fills>
  <x:borders count="15">
    <x:border/>
    <x:border>
      <x:bottom style="thin">
        <x:color rgb="FFCAD3DE"/>
      </x:bottom>
    </x:border>
    <x:border>
      <x:bottom style="medium">
        <x:color rgb="FF15253B"/>
      </x:bottom>
    </x:border>
    <x:border>
      <x:top style="thin">
        <x:color rgb="FFCAD3DE"/>
      </x:top>
      <x:bottom style="thin">
        <x:color rgb="FFCAD3DE"/>
      </x:bottom>
    </x:border>
    <x:border>
      <x:top style="thin">
        <x:color rgb="FFCAD3DE"/>
      </x:top>
    </x:border>
    <x:border>
      <x:left style="medium">
        <x:color rgb="FFCAD3DE"/>
      </x:left>
      <x:top style="medium">
        <x:color rgb="FFCAD3DE"/>
      </x:top>
    </x:border>
    <x:border>
      <x:right style="medium">
        <x:color rgb="FFCAD3DE"/>
      </x:right>
      <x:top style="medium">
        <x:color rgb="FFCAD3DE"/>
      </x:top>
    </x:border>
    <x:border>
      <x:left style="medium">
        <x:color rgb="FFCAD3DE"/>
      </x:left>
      <x:bottom style="medium">
        <x:color rgb="FFCAD3DE"/>
      </x:bottom>
    </x:border>
    <x:border>
      <x:right style="medium">
        <x:color rgb="FFCAD3DE"/>
      </x:right>
      <x:bottom style="medium">
        <x:color rgb="FFCAD3DE"/>
      </x:bottom>
    </x:border>
    <x:border>
      <x:left style="thin">
        <x:color rgb="FFCAD3DE"/>
      </x:left>
      <x:top style="thin">
        <x:color rgb="FFCAD3DE"/>
      </x:top>
    </x:border>
    <x:border>
      <x:right style="thin">
        <x:color rgb="FFCAD3DE"/>
      </x:right>
      <x:top style="thin">
        <x:color rgb="FFCAD3DE"/>
      </x:top>
    </x:border>
    <x:border>
      <x:left style="thin">
        <x:color rgb="FFCAD3DE"/>
      </x:left>
    </x:border>
    <x:border>
      <x:right style="thin">
        <x:color rgb="FFCAD3DE"/>
      </x:right>
    </x:border>
    <x:border>
      <x:left style="thin">
        <x:color rgb="FFCAD3DE"/>
      </x:left>
      <x:bottom style="thin">
        <x:color rgb="FFCAD3DE"/>
      </x:bottom>
    </x:border>
    <x:border>
      <x:right style="thin">
        <x:color rgb="FFCAD3DE"/>
      </x:right>
      <x:bottom style="thin">
        <x:color rgb="FFCAD3DE"/>
      </x:bottom>
    </x:border>
  </x:borders>
  <x:cellStyleXfs count="1">
    <x:xf numFmtId="0" fontId="0" fillId="0" borderId="0"/>
  </x:cellStyleXfs>
  <x:cellXfs count="8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200" fontId="4" fillId="0" borderId="3" xfId="0" applyNumberFormat="1" applyFont="1" applyFill="1" applyBorder="1" applyAlignment="1">
      <x:alignment vertical="top" wrapText="1"/>
    </x:xf>
    <x:xf numFmtId="201" fontId="4" fillId="0" borderId="3" xfId="0" applyNumberFormat="1" applyFont="1" applyFill="1" applyBorder="1" applyAlignment="1">
      <x:alignment vertical="top" wrapText="1"/>
    </x:xf>
    <x:xf numFmtId="202" fontId="4" fillId="0" borderId="3" xfId="0" applyNumberFormat="1" applyFont="1" applyFill="1" applyBorder="1" applyAlignment="1">
      <x:alignment vertical="top" wrapText="1"/>
    </x:xf>
    <x:xf numFmtId="201" fontId="4" fillId="0" borderId="1" xfId="0" applyNumberFormat="1" applyFont="1" applyFill="1" applyBorder="1" applyAlignment="1">
      <x:alignment vertical="top" wrapText="1"/>
    </x:xf>
    <x:xf numFmtId="201" fontId="4" fillId="0" borderId="4" xfId="0" applyNumberFormat="1" applyFont="1" applyFill="1" applyBorder="1" applyAlignment="1">
      <x:alignment vertical="top" wrapText="1"/>
    </x:xf>
    <x:xf numFmtId="203" fontId="4" fillId="0" borderId="1" xfId="0" applyNumberFormat="1" applyFont="1" applyFill="1" applyBorder="1" applyAlignment="1">
      <x:alignment vertical="top" wrapText="1"/>
    </x:xf>
    <x:xf numFmtId="203" fontId="4" fillId="0" borderId="3" xfId="0" applyNumberFormat="1" applyFont="1" applyFill="1" applyBorder="1" applyAlignment="1">
      <x:alignment vertical="top" wrapText="1"/>
    </x:xf>
    <x:xf numFmtId="203" fontId="4" fillId="0" borderId="4" xfId="0" applyNumberFormat="1" applyFont="1" applyFill="1" applyBorder="1" applyAlignment="1">
      <x:alignment vertical="top" wrapText="1"/>
    </x:xf>
    <x:xf numFmtId="204" fontId="4" fillId="0" borderId="1" xfId="0" applyNumberFormat="1" applyFont="1" applyFill="1" applyBorder="1" applyAlignment="1">
      <x:alignment vertical="top" wrapText="1"/>
    </x:xf>
    <x:xf numFmtId="204" fontId="4" fillId="0" borderId="3" xfId="0" applyNumberFormat="1" applyFont="1" applyFill="1" applyBorder="1" applyAlignment="1">
      <x:alignment vertical="top" wrapText="1"/>
    </x:xf>
    <x:xf numFmtId="204" fontId="4" fillId="0" borderId="4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200" fontId="4" fillId="0" borderId="4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5" xfId="0" applyNumberFormat="1" applyFont="1" applyFill="1" applyBorder="1"/>
    <x:xf numFmtId="0" fontId="6" fillId="6" borderId="6" xfId="0" applyNumberFormat="1" applyFont="1" applyFill="1" applyBorder="1"/>
    <x:xf numFmtId="0" fontId="6" fillId="6" borderId="7" xfId="0" applyNumberFormat="1" applyFont="1" applyFill="1" applyBorder="1"/>
    <x:xf numFmtId="0" fontId="6" fillId="6" borderId="8" xfId="0" applyNumberFormat="1" applyFont="1" applyFill="1" applyBorder="1"/>
    <x:xf numFmtId="201" fontId="6" fillId="6" borderId="5" xfId="0" applyNumberFormat="1" applyFont="1" applyFill="1" applyBorder="1"/>
    <x:xf numFmtId="201" fontId="6" fillId="6" borderId="6" xfId="0" applyNumberFormat="1" applyFont="1" applyFill="1" applyBorder="1"/>
    <x:xf numFmtId="201" fontId="6" fillId="6" borderId="7" xfId="0" applyNumberFormat="1" applyFont="1" applyFill="1" applyBorder="1"/>
    <x:xf numFmtId="201" fontId="6" fillId="6" borderId="8" xfId="0" applyNumberFormat="1" applyFont="1" applyFill="1" applyBorder="1"/>
    <x:xf numFmtId="201" fontId="6" fillId="6" borderId="5" xfId="0" applyNumberFormat="1" applyFont="1" applyFill="1" applyBorder="1" applyAlignment="1">
      <x:alignment horizontal="center"/>
    </x:xf>
    <x:xf numFmtId="201" fontId="6" fillId="6" borderId="6" xfId="0" applyNumberFormat="1" applyFont="1" applyFill="1" applyBorder="1" applyAlignment="1">
      <x:alignment horizontal="center"/>
    </x:xf>
    <x:xf numFmtId="201" fontId="6" fillId="6" borderId="7" xfId="0" applyNumberFormat="1" applyFont="1" applyFill="1" applyBorder="1" applyAlignment="1">
      <x:alignment horizontal="center"/>
    </x:xf>
    <x:xf numFmtId="201" fontId="6" fillId="6" borderId="8" xfId="0" applyNumberFormat="1" applyFont="1" applyFill="1" applyBorder="1" applyAlignment="1">
      <x:alignment horizontal="center"/>
    </x:xf>
    <x:xf numFmtId="201" fontId="6" fillId="6" borderId="5" xfId="0" applyNumberFormat="1" applyFont="1" applyFill="1" applyBorder="1" applyAlignment="1">
      <x:alignment horizontal="center" vertical="center"/>
    </x:xf>
    <x:xf numFmtId="201" fontId="6" fillId="6" borderId="6" xfId="0" applyNumberFormat="1" applyFont="1" applyFill="1" applyBorder="1" applyAlignment="1">
      <x:alignment horizontal="center" vertical="center"/>
    </x:xf>
    <x:xf numFmtId="201" fontId="6" fillId="6" borderId="7" xfId="0" applyNumberFormat="1" applyFont="1" applyFill="1" applyBorder="1" applyAlignment="1">
      <x:alignment horizontal="center" vertical="center"/>
    </x:xf>
    <x:xf numFmtId="201" fontId="6" fillId="6" borderId="8" xfId="0" applyNumberFormat="1" applyFont="1" applyFill="1" applyBorder="1" applyAlignment="1">
      <x:alignment horizontal="center" vertical="center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/>
    <x:xf numFmtId="0" fontId="8" fillId="3" borderId="9" xfId="0" applyNumberFormat="1" applyFont="1" applyFill="1" applyBorder="1"/>
    <x:xf numFmtId="0" fontId="8" fillId="3" borderId="4" xfId="0" applyNumberFormat="1" applyFont="1" applyFill="1" applyBorder="1"/>
    <x:xf numFmtId="0" fontId="8" fillId="3" borderId="10" xfId="0" applyNumberFormat="1" applyFont="1" applyFill="1" applyBorder="1"/>
    <x:xf numFmtId="0" fontId="8" fillId="3" borderId="11" xfId="0" applyNumberFormat="1" applyFont="1" applyFill="1" applyBorder="1"/>
    <x:xf numFmtId="0" fontId="8" fillId="3" borderId="12" xfId="0" applyNumberFormat="1" applyFont="1" applyFill="1" applyBorder="1"/>
    <x:xf numFmtId="0" fontId="8" fillId="3" borderId="13" xfId="0" applyNumberFormat="1" applyFont="1" applyFill="1" applyBorder="1"/>
    <x:xf numFmtId="0" fontId="8" fillId="3" borderId="1" xfId="0" applyNumberFormat="1" applyFont="1" applyFill="1" applyBorder="1"/>
    <x:xf numFmtId="0" fontId="8" fillId="3" borderId="14" xfId="0" applyNumberFormat="1" applyFont="1" applyFill="1" applyBorder="1"/>
    <x:xf numFmtId="0" fontId="8" fillId="3" borderId="9" xfId="0" applyNumberFormat="1" applyFont="1" applyFill="1" applyBorder="1" applyAlignment="1">
      <x:alignment wrapText="1"/>
    </x:xf>
    <x:xf numFmtId="0" fontId="8" fillId="3" borderId="4" xfId="0" applyNumberFormat="1" applyFont="1" applyFill="1" applyBorder="1" applyAlignment="1">
      <x:alignment wrapText="1"/>
    </x:xf>
    <x:xf numFmtId="0" fontId="8" fillId="3" borderId="10" xfId="0" applyNumberFormat="1" applyFont="1" applyFill="1" applyBorder="1" applyAlignment="1">
      <x:alignment wrapText="1"/>
    </x:xf>
    <x:xf numFmtId="0" fontId="8" fillId="3" borderId="11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wrapText="1"/>
    </x:xf>
    <x:xf numFmtId="0" fontId="8" fillId="3" borderId="12" xfId="0" applyNumberFormat="1" applyFont="1" applyFill="1" applyBorder="1" applyAlignment="1">
      <x:alignment wrapText="1"/>
    </x:xf>
    <x:xf numFmtId="0" fontId="8" fillId="3" borderId="13" xfId="0" applyNumberFormat="1" applyFont="1" applyFill="1" applyBorder="1" applyAlignment="1">
      <x:alignment wrapText="1"/>
    </x:xf>
    <x:xf numFmtId="0" fontId="8" fillId="3" borderId="1" xfId="0" applyNumberFormat="1" applyFont="1" applyFill="1" applyBorder="1" applyAlignment="1">
      <x:alignment wrapText="1"/>
    </x:xf>
    <x:xf numFmtId="0" fontId="8" fillId="3" borderId="14" xfId="0" applyNumberFormat="1" applyFont="1" applyFill="1" applyBorder="1" applyAlignment="1">
      <x:alignment wrapText="1"/>
    </x:xf>
    <x:xf numFmtId="0" fontId="8" fillId="3" borderId="9" xfId="0" applyNumberFormat="1" applyFont="1" applyFill="1" applyBorder="1" applyAlignment="1">
      <x:alignment vertical="top" wrapText="1"/>
    </x:xf>
    <x:xf numFmtId="0" fontId="8" fillId="3" borderId="4" xfId="0" applyNumberFormat="1" applyFont="1" applyFill="1" applyBorder="1" applyAlignment="1">
      <x:alignment vertical="top" wrapText="1"/>
    </x:xf>
    <x:xf numFmtId="0" fontId="8" fillId="3" borderId="10" xfId="0" applyNumberFormat="1" applyFont="1" applyFill="1" applyBorder="1" applyAlignment="1">
      <x:alignment vertical="top" wrapText="1"/>
    </x:xf>
    <x:xf numFmtId="0" fontId="8" fillId="3" borderId="11" xfId="0" applyNumberFormat="1" applyFont="1" applyFill="1" applyBorder="1" applyAlignment="1">
      <x:alignment vertical="top" wrapText="1"/>
    </x:xf>
    <x:xf numFmtId="0" fontId="8" fillId="3" borderId="0" xfId="0" applyNumberFormat="1" applyFont="1" applyFill="1" applyBorder="1" applyAlignment="1">
      <x:alignment vertical="top" wrapText="1"/>
    </x:xf>
    <x:xf numFmtId="0" fontId="8" fillId="3" borderId="12" xfId="0" applyNumberFormat="1" applyFont="1" applyFill="1" applyBorder="1" applyAlignment="1">
      <x:alignment vertical="top" wrapText="1"/>
    </x:xf>
    <x:xf numFmtId="0" fontId="8" fillId="3" borderId="13" xfId="0" applyNumberFormat="1" applyFont="1" applyFill="1" applyBorder="1" applyAlignment="1">
      <x:alignment vertical="top" wrapText="1"/>
    </x:xf>
    <x:xf numFmtId="0" fontId="8" fillId="3" borderId="1" xfId="0" applyNumberFormat="1" applyFont="1" applyFill="1" applyBorder="1" applyAlignment="1">
      <x:alignment vertical="top" wrapText="1"/>
    </x:xf>
    <x:xf numFmtId="0" fontId="8" fillId="3" borderId="14" xfId="0" applyNumberFormat="1" applyFont="1" applyFill="1" applyBorder="1" applyAlignment="1">
      <x:alignment vertical="top" wrapText="1"/>
    </x:xf>
  </x:cellXfs>
  <x:cellStyles count="1">
    <x:cellStyle name="Normal" xfId="0"/>
  </x:cellStyles>
  <x:dxfs count="27">
    <x:dxf>
      <x:font>
        <x:b/>
        <x:color rgb="FF7A4D00"/>
      </x:font>
      <x:fill>
        <x:patternFill patternType="solid">
          <x:bgColor rgb="FFFFF2CC"/>
        </x:patternFill>
      </x:fill>
    </x:dxf>
    <x:dxf>
      <x:font>
        <x:b/>
        <x:color rgb="FF1C4D7A"/>
      </x:font>
      <x:fill>
        <x:patternFill patternType="solid">
          <x:bgColor rgb="FFDCEEFF"/>
        </x:patternFill>
      </x:fill>
    </x:dxf>
    <x:dxf>
      <x:font>
        <x:b/>
        <x:color rgb="FF17663A"/>
      </x:font>
      <x:fill>
        <x:patternFill patternType="solid">
          <x:bgColor rgb="FFDDF5E7"/>
        </x:patternFill>
      </x:fill>
    </x:dxf>
    <x:dxf>
      <x:font>
        <x:b/>
        <x:color rgb="FF9C2020"/>
      </x:font>
      <x:fill>
        <x:patternFill patternType="solid">
          <x:bgColor rgb="FFFCE1E1"/>
        </x:patternFill>
      </x:fill>
    </x:dxf>
    <x:dxf>
      <x:font>
        <x:b/>
        <x:color rgb="FF334155"/>
      </x:font>
      <x:fill>
        <x:patternFill patternType="solid">
          <x:bgColor rgb="FFE7EBF0"/>
        </x:patternFill>
      </x:fill>
    </x:dxf>
    <x:dxf>
      <x:font>
        <x:b/>
        <x:color rgb="FF9C2020"/>
      </x:font>
      <x:fill>
        <x:patternFill patternType="solid">
          <x:bgColor rgb="FFFCE1E1"/>
        </x:patternFill>
      </x:fill>
    </x:dxf>
    <x:dxf>
      <x:font>
        <x:color rgb="FF17663A"/>
      </x:font>
      <x:fill>
        <x:patternFill patternType="solid">
          <x:bgColor rgb="FFDDF5E7"/>
        </x:patternFill>
      </x:fill>
    </x:dxf>
    <x:dxf>
      <x:font>
        <x:b/>
        <x:color rgb="FF7A4D00"/>
      </x:font>
      <x:fill>
        <x:patternFill patternType="solid">
          <x:bgColor rgb="FFFFF2CC"/>
        </x:patternFill>
      </x:fill>
    </x:dxf>
    <x:dxf>
      <x:font>
        <x:b/>
        <x:color rgb="FF1C4D7A"/>
      </x:font>
      <x:fill>
        <x:patternFill patternType="solid">
          <x:bgColor rgb="FFDCEEFF"/>
        </x:patternFill>
      </x:fill>
    </x:dxf>
    <x:dxf>
      <x:font>
        <x:b/>
        <x:color rgb="FF17663A"/>
      </x:font>
      <x:fill>
        <x:patternFill patternType="solid">
          <x:bgColor rgb="FFDDF5E7"/>
        </x:patternFill>
      </x:fill>
    </x:dxf>
    <x:dxf>
      <x:font>
        <x:b/>
        <x:color rgb="FF9C2020"/>
      </x:font>
      <x:fill>
        <x:patternFill patternType="solid">
          <x:bgColor rgb="FFFCE1E1"/>
        </x:patternFill>
      </x:fill>
    </x:dxf>
    <x:dxf>
      <x:font>
        <x:b/>
        <x:color rgb="FF334155"/>
      </x:font>
      <x:fill>
        <x:patternFill patternType="solid">
          <x:bgColor rgb="FFE7EBF0"/>
        </x:patternFill>
      </x:fill>
    </x:dxf>
    <x:dxf>
      <x:font>
        <x:b/>
        <x:color rgb="FF7A4D00"/>
      </x:font>
      <x:fill>
        <x:patternFill patternType="solid">
          <x:bgColor rgb="FFFFF2CC"/>
        </x:patternFill>
      </x:fill>
    </x:dxf>
    <x:dxf>
      <x:font>
        <x:b/>
        <x:color rgb="FF1C4D7A"/>
      </x:font>
      <x:fill>
        <x:patternFill patternType="solid">
          <x:bgColor rgb="FFDCEEFF"/>
        </x:patternFill>
      </x:fill>
    </x:dxf>
    <x:dxf>
      <x:font>
        <x:b/>
        <x:color rgb="FF17663A"/>
      </x:font>
      <x:fill>
        <x:patternFill patternType="solid">
          <x:bgColor rgb="FFDDF5E7"/>
        </x:patternFill>
      </x:fill>
    </x:dxf>
    <x:dxf>
      <x:font>
        <x:b/>
        <x:color rgb="FF9C2020"/>
      </x:font>
      <x:fill>
        <x:patternFill patternType="solid">
          <x:bgColor rgb="FFFCE1E1"/>
        </x:patternFill>
      </x:fill>
    </x:dxf>
    <x:dxf>
      <x:font>
        <x:b/>
        <x:color rgb="FF334155"/>
      </x:font>
      <x:fill>
        <x:patternFill patternType="solid">
          <x:bgColor rgb="FFE7EBF0"/>
        </x:patternFill>
      </x:fill>
    </x:dxf>
    <x:dxf>
      <x:font>
        <x:b/>
        <x:color rgb="FF7A4D00"/>
      </x:font>
      <x:fill>
        <x:patternFill patternType="solid">
          <x:bgColor rgb="FFFFF2CC"/>
        </x:patternFill>
      </x:fill>
    </x:dxf>
    <x:dxf>
      <x:font>
        <x:b/>
        <x:color rgb="FF1C4D7A"/>
      </x:font>
      <x:fill>
        <x:patternFill patternType="solid">
          <x:bgColor rgb="FFDCEEFF"/>
        </x:patternFill>
      </x:fill>
    </x:dxf>
    <x:dxf>
      <x:font>
        <x:b/>
        <x:color rgb="FF17663A"/>
      </x:font>
      <x:fill>
        <x:patternFill patternType="solid">
          <x:bgColor rgb="FFDDF5E7"/>
        </x:patternFill>
      </x:fill>
    </x:dxf>
    <x:dxf>
      <x:font>
        <x:b/>
        <x:color rgb="FF9C2020"/>
      </x:font>
      <x:fill>
        <x:patternFill patternType="solid">
          <x:bgColor rgb="FFFCE1E1"/>
        </x:patternFill>
      </x:fill>
    </x:dxf>
    <x:dxf>
      <x:font>
        <x:b/>
        <x:color rgb="FF334155"/>
      </x:font>
      <x:fill>
        <x:patternFill patternType="solid">
          <x:bgColor rgb="FFE7EBF0"/>
        </x:patternFill>
      </x:fill>
    </x:dxf>
    <x:dxf>
      <x:font>
        <x:b/>
        <x:color rgb="FF7A4D00"/>
      </x:font>
      <x:fill>
        <x:patternFill patternType="solid">
          <x:bgColor rgb="FFFFF2CC"/>
        </x:patternFill>
      </x:fill>
    </x:dxf>
    <x:dxf>
      <x:font>
        <x:b/>
        <x:color rgb="FF1C4D7A"/>
      </x:font>
      <x:fill>
        <x:patternFill patternType="solid">
          <x:bgColor rgb="FFDCEEFF"/>
        </x:patternFill>
      </x:fill>
    </x:dxf>
    <x:dxf>
      <x:font>
        <x:b/>
        <x:color rgb="FF17663A"/>
      </x:font>
      <x:fill>
        <x:patternFill patternType="solid">
          <x:bgColor rgb="FFDDF5E7"/>
        </x:patternFill>
      </x:fill>
    </x:dxf>
    <x:dxf>
      <x:font>
        <x:b/>
        <x:color rgb="FF9C2020"/>
      </x:font>
      <x:fill>
        <x:patternFill patternType="solid">
          <x:bgColor rgb="FFFCE1E1"/>
        </x:patternFill>
      </x:fill>
    </x:dxf>
    <x:dxf>
      <x:font>
        <x:b/>
        <x:color rgb="FF334155"/>
      </x:font>
      <x:fill>
        <x:patternFill patternType="solid">
          <x:bgColor rgb="FFE7EBF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500f61011c46cb" /><Relationship Type="http://schemas.openxmlformats.org/officeDocument/2006/relationships/theme" Target="/xl/theme/theme1.xml" Id="R6cf38a537aad4810" /><Relationship Type="http://schemas.openxmlformats.org/officeDocument/2006/relationships/sharedStrings" Target="/xl/sharedStrings.xml" Id="R7b11f84b45e144a7" /><Relationship Type="http://schemas.openxmlformats.org/officeDocument/2006/relationships/worksheet" Target="/xl/worksheets/sheet1.xml" Id="Ra9d2fbd635ed4e5b" /><Relationship Type="http://schemas.openxmlformats.org/officeDocument/2006/relationships/worksheet" Target="/xl/worksheets/sheet2.xml" Id="R9cf3584db5034f69" /><Relationship Type="http://schemas.openxmlformats.org/officeDocument/2006/relationships/worksheet" Target="/xl/worksheets/sheet3.xml" Id="R22bface8733c4668" /><Relationship Type="http://schemas.openxmlformats.org/officeDocument/2006/relationships/worksheet" Target="/xl/worksheets/sheet4.xml" Id="Re51ad67f2ee74af3" /><Relationship Type="http://schemas.openxmlformats.org/officeDocument/2006/relationships/worksheet" Target="/xl/worksheets/sheet5.xml" Id="R56122fbd66bd4e5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165b037302c468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Curated families by shop / system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Families</c:v>
          </c:tx>
          <c:cat>
            <c:strRef>
              <c:f>'Dashboard'!$D$9:$D$20</c:f>
              <c:strCache>
                <c:ptCount val="0"/>
              </c:strCache>
            </c:strRef>
          </c:cat>
          <c:val>
            <c:numRef>
              <c:f>'Dashboard'!$E$9:$E$20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7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165b037302c468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AssetFamiliesTable" displayName="AssetFamiliesTable" ref="A5:U31" headerRowCount="1" totalsRowCount="0" totalsRowShown="0">
  <x:autoFilter ref="A5:U31"/>
  <x:tableColumns count="21">
    <x:tableColumn id="1" name="Family ID"/>
    <x:tableColumn id="2" name="Asset Family"/>
    <x:tableColumn id="3" name="Shop / System"/>
    <x:tableColumn id="4" name="Gameplay Role"/>
    <x:tableColumn id="5" name="Primary Source Authority"/>
    <x:tableColumn id="6" name="Source Evidence Count"/>
    <x:tableColumn id="7" name="Latest Version"/>
    <x:tableColumn id="8" name="Catalog Status"/>
    <x:tableColumn id="9" name="Priority"/>
    <x:tableColumn id="10" name="Owner"/>
    <x:tableColumn id="11" name="Audit Result"/>
    <x:tableColumn id="12" name="Runtime State"/>
    <x:tableColumn id="13" name="Runtime Asset / Path"/>
    <x:tableColumn id="14" name="Promotion Decision"/>
    <x:tableColumn id="15" name="Blocker / Next Action"/>
    <x:tableColumn id="16" name="Provenance"/>
    <x:tableColumn id="17" name="License / Privacy"/>
    <x:tableColumn id="18" name="Last Verified"/>
    <x:tableColumn id="19" name="Notes"/>
    <x:tableColumn id="20" name="Urgent Gap?"/>
    <x:tableColumn id="21" name="Urgent Rank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SourceFilesTable" displayName="SourceFilesTable" ref="A5:Q51" headerRowCount="1" totalsRowCount="0" totalsRowShown="0">
  <x:autoFilter ref="A5:Q51"/>
  <x:tableColumns count="17">
    <x:tableColumn id="1" name="Source ID"/>
    <x:tableColumn id="2" name="Family ID"/>
    <x:tableColumn id="3" name="File Name"/>
    <x:tableColumn id="4" name="Full Source Path"/>
    <x:tableColumn id="5" name="Extension"/>
    <x:tableColumn id="6" name="SHA-256"/>
    <x:tableColumn id="7" name="Size (bytes)"/>
    <x:tableColumn id="8" name="Date Modified"/>
    <x:tableColumn id="9" name="Source Role"/>
    <x:tableColumn id="10" name="Shop / System"/>
    <x:tableColumn id="11" name="Audit Result"/>
    <x:tableColumn id="12" name="Catalog Status"/>
    <x:tableColumn id="13" name="Runtime Binding"/>
    <x:tableColumn id="14" name="Blocker / Next Action"/>
    <x:tableColumn id="15" name="Evidence Scope"/>
    <x:tableColumn id="16" name="Exhaustive Ledger Reference"/>
    <x:tableColumn id="17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4" name="RuntimeBindingsTable" displayName="RuntimeBindingsTable" ref="A5:P31" headerRowCount="1" totalsRowCount="0" totalsRowShown="0">
  <x:autoFilter ref="A5:P31"/>
  <x:tableColumns count="16">
    <x:tableColumn id="1" name="Binding ID"/>
    <x:tableColumn id="2" name="Family ID"/>
    <x:tableColumn id="3" name="Asset Family"/>
    <x:tableColumn id="4" name="Gameplay Role"/>
    <x:tableColumn id="5" name="Shop / System"/>
    <x:tableColumn id="6" name="Source Authority"/>
    <x:tableColumn id="7" name="Unreal Runtime Path"/>
    <x:tableColumn id="8" name="Binding Type"/>
    <x:tableColumn id="9" name="Runtime State"/>
    <x:tableColumn id="10" name="Audit Result"/>
    <x:tableColumn id="11" name="Catalog Status"/>
    <x:tableColumn id="12" name="Cooked?"/>
    <x:tableColumn id="13" name="Package Test"/>
    <x:tableColumn id="14" name="Last Verified"/>
    <x:tableColumn id="15" name="Blocker / Next Action"/>
    <x:tableColumn id="16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" name="StatusDefinitionsTable" displayName="StatusDefinitionsTable" ref="A14:F24" headerRowCount="1" totalsRowCount="0" totalsRowShown="0">
  <x:autoFilter ref="A14:F24"/>
  <x:tableColumns count="6">
    <x:tableColumn id="1" name="Status Type"/>
    <x:tableColumn id="2" name="Value"/>
    <x:tableColumn id="3" name="Meaning"/>
    <x:tableColumn id="4" name="When to Use"/>
    <x:tableColumn id="5" name="Exit Criteria"/>
    <x:tableColumn id="6" name="Colou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80a23eaba4e4aa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fa5bca346554a9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b323cb44b8547f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52ebfce7f8144d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7e62b03da45406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1" hidden="0" customWidth="1"/>
    <x:col min="3" max="3" width="19" hidden="0" customWidth="1"/>
    <x:col min="4" max="4" width="26" hidden="0" customWidth="1"/>
    <x:col min="5" max="5" width="20" hidden="0" customWidth="1"/>
    <x:col min="6" max="6" width="46" hidden="0" customWidth="1"/>
    <x:col min="7" max="7" width="3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34" customHeight="1">
      <x:c r="A1" s="3" t="str">
        <x:v>LINE BOSS  |  Master Asset Register</x:v>
      </x:c>
      <x:c r="B1" s="3" t="str">
        <x:v>LINE BOSS  |  Master Asset Register</x:v>
      </x:c>
      <x:c r="C1" s="3" t="str">
        <x:v>LINE BOSS  |  Master Asset Register</x:v>
      </x:c>
      <x:c r="D1" s="3" t="str">
        <x:v>LINE BOSS  |  Master Asset Register</x:v>
      </x:c>
      <x:c r="E1" s="3" t="str">
        <x:v>LINE BOSS  |  Master Asset Register</x:v>
      </x:c>
      <x:c r="F1" s="3" t="str">
        <x:v>LINE BOSS  |  Master Asset Register</x:v>
      </x:c>
      <x:c r="G1" s="3" t="str">
        <x:v>LINE BOSS  |  Master Asset Register</x:v>
      </x:c>
      <x:c r="H1" s="3" t="str">
        <x:v>LINE BOSS  |  Master Asset Register</x:v>
      </x:c>
      <x:c r="I1" s="3" t="str">
        <x:v>LINE BOSS  |  Master Asset Register</x:v>
      </x:c>
      <x:c r="J1" s="3" t="str">
        <x:v>LINE BOSS  |  Master Asset Register</x:v>
      </x:c>
      <x:c r="K1" s="3" t="str">
        <x:v>LINE BOSS  |  Master Asset Register</x:v>
      </x:c>
      <x:c r="L1" s="3" t="str">
        <x:v>LINE BOSS  |  Master Asset Register</x:v>
      </x:c>
      <x:c r="M1" s="3" t="str">
        <x:v>LINE BOSS  |  Master Asset Register</x:v>
      </x:c>
      <x:c r="N1" s="3" t="str">
        <x:v>LINE BOSS  |  Master Asset Register</x:v>
      </x:c>
    </x:row>
    <x:row r="2" ht="27" customHeight="1">
      <x:c r="A2" s="8" t="str">
        <x:v>Curated family and runtime register. Exhaustive file evidence is tracked separately (5,990 ledger rows).</x:v>
      </x:c>
      <x:c r="B2" s="8" t="str">
        <x:v>Curated family and runtime register. Exhaustive file evidence is tracked separately (5,990 ledger rows).</x:v>
      </x:c>
      <x:c r="C2" s="8" t="str">
        <x:v>Curated family and runtime register. Exhaustive file evidence is tracked separately (5,990 ledger rows).</x:v>
      </x:c>
      <x:c r="D2" s="8" t="str">
        <x:v>Curated family and runtime register. Exhaustive file evidence is tracked separately (5,990 ledger rows).</x:v>
      </x:c>
      <x:c r="E2" s="8" t="str">
        <x:v>Curated family and runtime register. Exhaustive file evidence is tracked separately (5,990 ledger rows).</x:v>
      </x:c>
      <x:c r="F2" s="8" t="str">
        <x:v>Curated family and runtime register. Exhaustive file evidence is tracked separately (5,990 ledger rows).</x:v>
      </x:c>
      <x:c r="G2" s="8" t="str">
        <x:v>Curated family and runtime register. Exhaustive file evidence is tracked separately (5,990 ledger rows).</x:v>
      </x:c>
      <x:c r="H2" s="8" t="str">
        <x:v>Curated family and runtime register. Exhaustive file evidence is tracked separately (5,990 ledger rows).</x:v>
      </x:c>
      <x:c r="I2" s="8" t="str">
        <x:v>Curated family and runtime register. Exhaustive file evidence is tracked separately (5,990 ledger rows).</x:v>
      </x:c>
      <x:c r="J2" s="8" t="str">
        <x:v>Curated family and runtime register. Exhaustive file evidence is tracked separately (5,990 ledger rows).</x:v>
      </x:c>
      <x:c r="K2" s="8" t="str">
        <x:v>Curated family and runtime register. Exhaustive file evidence is tracked separately (5,990 ledger rows).</x:v>
      </x:c>
      <x:c r="L2" s="8" t="str">
        <x:v>Curated family and runtime register. Exhaustive file evidence is tracked separately (5,990 ledger rows).</x:v>
      </x:c>
      <x:c r="M2" s="8" t="str">
        <x:v>Curated family and runtime register. Exhaustive file evidence is tracked separately (5,990 ledger rows).</x:v>
      </x:c>
      <x:c r="N2" s="8" t="str">
        <x:v>Curated family and runtime register. Exhaustive file evidence is tracked separately (5,990 ledger rows).</x:v>
      </x:c>
    </x:row>
    <x:row r="4" ht="22" customHeight="1">
      <x:c r="A4" s="40" t="str">
        <x:v>Curated families</x:v>
      </x:c>
      <x:c r="B4" s="40" t="str">
        <x:v>Curated families</x:v>
      </x:c>
      <x:c r="D4" s="40" t="str">
        <x:v>Curated source files</x:v>
      </x:c>
      <x:c r="E4" s="40" t="str">
        <x:v>Curated source files</x:v>
      </x:c>
      <x:c r="G4" s="40" t="str">
        <x:v>Runtime bindings</x:v>
      </x:c>
      <x:c r="H4" s="40" t="str">
        <x:v>Runtime bindings</x:v>
      </x:c>
      <x:c r="J4" s="40" t="str">
        <x:v>Urgent gaps</x:v>
      </x:c>
      <x:c r="K4" s="40" t="str">
        <x:v>Urgent gaps</x:v>
      </x:c>
      <x:c r="M4" s="40" t="str">
        <x:v>Ledger files</x:v>
      </x:c>
      <x:c r="N4" s="40" t="str">
        <x:v>Ledger files</x:v>
      </x:c>
    </x:row>
    <x:row r="5">
      <x:c r="A5" s="55" t="n">
        <x:f>COUNTA('Asset Families'!$A$6:$A$31)</x:f>
        <x:v>26</x:v>
      </x:c>
      <x:c r="B5" s="56"/>
      <x:c r="D5" s="55" t="n">
        <x:f>COUNTA('Source Files'!$A$6:$A$51)</x:f>
        <x:v>46</x:v>
      </x:c>
      <x:c r="E5" s="56"/>
      <x:c r="G5" s="55" t="n">
        <x:f>COUNTA('Runtime Bindings'!$A$6:$A$31)</x:f>
        <x:v>26</x:v>
      </x:c>
      <x:c r="H5" s="56"/>
      <x:c r="J5" s="55" t="n">
        <x:f>COUNTIF('Asset Families'!$T$6:$T$31,"Yes")</x:f>
        <x:v>3</x:v>
      </x:c>
      <x:c r="K5" s="56"/>
      <x:c r="M5" s="55" t="n">
        <x:f>'Status Definitions'!$B$8</x:f>
        <x:v>5990</x:v>
      </x:c>
      <x:c r="N5" s="56"/>
    </x:row>
    <x:row r="6">
      <x:c r="A6" s="57"/>
      <x:c r="B6" s="58"/>
      <x:c r="D6" s="57"/>
      <x:c r="E6" s="58"/>
      <x:c r="G6" s="57"/>
      <x:c r="H6" s="58"/>
      <x:c r="J6" s="57"/>
      <x:c r="K6" s="58"/>
      <x:c r="M6" s="57"/>
      <x:c r="N6" s="58"/>
    </x:row>
    <x:row r="8" ht="29" customHeight="1">
      <x:c r="A8" s="13" t="str">
        <x:v>Catalog status</x:v>
      </x:c>
      <x:c r="B8" s="13" t="str">
        <x:v>Families</x:v>
      </x:c>
      <x:c r="D8" s="13" t="str">
        <x:v>Shop / system</x:v>
      </x:c>
      <x:c r="E8" s="13" t="str">
        <x:v>Families</x:v>
      </x:c>
    </x:row>
    <x:row r="9">
      <x:c r="A9" s="21" t="str">
        <x:v>REFERENCE_ONLY_RUNTIME_BLOCKED</x:v>
      </x:c>
      <x:c r="B9" s="27" t="n">
        <x:f>COUNTIF('Asset Families'!$H$6:$H$31,A9)</x:f>
        <x:v>7</x:v>
      </x:c>
      <x:c r="D9" s="21" t="str">
        <x:v>Brand</x:v>
      </x:c>
      <x:c r="E9" s="27" t="n">
        <x:f>COUNTIF('Asset Families'!$C$6:$C$31,D9)</x:f>
        <x:v>1</x:v>
      </x:c>
    </x:row>
    <x:row r="10">
      <x:c r="A10" s="22" t="str">
        <x:v>RUNTIME_CANDIDATE_NOT_IMPORTED</x:v>
      </x:c>
      <x:c r="B10" s="25" t="n">
        <x:f>COUNTIF('Asset Families'!$H$6:$H$31,A10)</x:f>
        <x:v>4</x:v>
      </x:c>
      <x:c r="D10" s="22" t="str">
        <x:v>FactoryLogistics</x:v>
      </x:c>
      <x:c r="E10" s="25" t="n">
        <x:f>COUNTIF('Asset Families'!$C$6:$C$31,D10)</x:f>
        <x:v>1</x:v>
      </x:c>
    </x:row>
    <x:row r="11">
      <x:c r="A11" s="22" t="str">
        <x:v>UNREAL_IMPORTED_CANDIDATE</x:v>
      </x:c>
      <x:c r="B11" s="25" t="n">
        <x:f>COUNTIF('Asset Families'!$H$6:$H$31,A11)</x:f>
        <x:v>5</x:v>
      </x:c>
      <x:c r="D11" s="22" t="str">
        <x:v>Logistics</x:v>
      </x:c>
      <x:c r="E11" s="25" t="n">
        <x:f>COUNTIF('Asset Families'!$C$6:$C$31,D11)</x:f>
        <x:v>1</x:v>
      </x:c>
    </x:row>
    <x:row r="12">
      <x:c r="A12" s="22" t="str">
        <x:v>REJECTED_DO_NOT_USE</x:v>
      </x:c>
      <x:c r="B12" s="25" t="n">
        <x:f>COUNTIF('Asset Families'!$H$6:$H$31,A12)</x:f>
        <x:v>1</x:v>
      </x:c>
      <x:c r="D12" s="22" t="str">
        <x:v>PaintShop</x:v>
      </x:c>
      <x:c r="E12" s="25" t="n">
        <x:f>COUNTIF('Asset Families'!$C$6:$C$31,D12)</x:f>
        <x:v>1</x:v>
      </x:c>
    </x:row>
    <x:row r="13">
      <x:c r="A13" s="23" t="str">
        <x:v>CURATED_SOURCE_AUTHORITY</x:v>
      </x:c>
      <x:c r="B13" s="28" t="n">
        <x:f>COUNTIF('Asset Families'!$H$6:$H$31,A13)</x:f>
        <x:v>9</x:v>
      </x:c>
      <x:c r="D13" s="22" t="str">
        <x:v>PressShop</x:v>
      </x:c>
      <x:c r="E13" s="25" t="n">
        <x:f>COUNTIF('Asset Families'!$C$6:$C$31,D13)</x:f>
        <x:v>7</x:v>
      </x:c>
    </x:row>
    <x:row r="14">
      <x:c r="D14" s="22" t="str">
        <x:v>PressShop/Logistics</x:v>
      </x:c>
      <x:c r="E14" s="25" t="n">
        <x:f>COUNTIF('Asset Families'!$C$6:$C$31,D14)</x:f>
        <x:v>1</x:v>
      </x:c>
    </x:row>
    <x:row r="15">
      <x:c r="D15" s="22" t="str">
        <x:v>PressShop/MaterialHandling</x:v>
      </x:c>
      <x:c r="E15" s="25" t="n">
        <x:f>COUNTIF('Asset Families'!$C$6:$C$31,D15)</x:f>
        <x:v>1</x:v>
      </x:c>
    </x:row>
    <x:row r="16">
      <x:c r="D16" s="22" t="str">
        <x:v>PressShop/PressTrains</x:v>
      </x:c>
      <x:c r="E16" s="25" t="n">
        <x:f>COUNTIF('Asset Families'!$C$6:$C$31,D16)</x:f>
        <x:v>1</x:v>
      </x:c>
    </x:row>
    <x:row r="17">
      <x:c r="D17" s="22" t="str">
        <x:v>SupportRobots</x:v>
      </x:c>
      <x:c r="E17" s="25" t="n">
        <x:f>COUNTIF('Asset Families'!$C$6:$C$31,D17)</x:f>
        <x:v>2</x:v>
      </x:c>
    </x:row>
    <x:row r="18">
      <x:c r="D18" s="22" t="str">
        <x:v>Vehicles/Cairnwell2040</x:v>
      </x:c>
      <x:c r="E18" s="25" t="n">
        <x:f>COUNTIF('Asset Families'!$C$6:$C$31,D18)</x:f>
        <x:v>3</x:v>
      </x:c>
    </x:row>
    <x:row r="19">
      <x:c r="D19" s="22" t="str">
        <x:v>WeldShop</x:v>
      </x:c>
      <x:c r="E19" s="25" t="n">
        <x:f>COUNTIF('Asset Families'!$C$6:$C$31,D19)</x:f>
        <x:v>6</x:v>
      </x:c>
    </x:row>
    <x:row r="20">
      <x:c r="D20" s="23" t="str">
        <x:v>WeldShop/Logistics</x:v>
      </x:c>
      <x:c r="E20" s="28" t="n">
        <x:f>COUNTIF('Asset Families'!$C$6:$C$31,D20)</x:f>
        <x:v>1</x:v>
      </x:c>
    </x:row>
    <x:row r="22" ht="25" customHeight="1">
      <x:c r="A22" s="60" t="str">
        <x:v>URGENT ACTION QUEUE  |  Top 10 reconciled gaps</x:v>
      </x:c>
      <x:c r="B22" s="60" t="str">
        <x:v>URGENT ACTION QUEUE  |  Top 10 reconciled gaps</x:v>
      </x:c>
      <x:c r="C22" s="60" t="str">
        <x:v>URGENT ACTION QUEUE  |  Top 10 reconciled gaps</x:v>
      </x:c>
      <x:c r="D22" s="60" t="str">
        <x:v>URGENT ACTION QUEUE  |  Top 10 reconciled gaps</x:v>
      </x:c>
      <x:c r="E22" s="60" t="str">
        <x:v>URGENT ACTION QUEUE  |  Top 10 reconciled gaps</x:v>
      </x:c>
      <x:c r="F22" s="60" t="str">
        <x:v>URGENT ACTION QUEUE  |  Top 10 reconciled gaps</x:v>
      </x:c>
      <x:c r="H22" s="60" t="str">
        <x:v>CATALOG SCOPE &amp; PROVENANCE</x:v>
      </x:c>
      <x:c r="I22" s="60" t="str">
        <x:v>CATALOG SCOPE &amp; PROVENANCE</x:v>
      </x:c>
      <x:c r="J22" s="60" t="str">
        <x:v>CATALOG SCOPE &amp; PROVENANCE</x:v>
      </x:c>
      <x:c r="K22" s="60" t="str">
        <x:v>CATALOG SCOPE &amp; PROVENANCE</x:v>
      </x:c>
      <x:c r="L22" s="60" t="str">
        <x:v>CATALOG SCOPE &amp; PROVENANCE</x:v>
      </x:c>
      <x:c r="M22" s="60" t="str">
        <x:v>CATALOG SCOPE &amp; PROVENANCE</x:v>
      </x:c>
      <x:c r="N22" s="60" t="str">
        <x:v>CATALOG SCOPE &amp; PROVENANCE</x:v>
      </x:c>
    </x:row>
    <x:row r="23" ht="29" customHeight="1">
      <x:c r="A23" s="13" t="str">
        <x:v>Family ID</x:v>
      </x:c>
      <x:c r="B23" s="13" t="str">
        <x:v>Asset Family</x:v>
      </x:c>
      <x:c r="C23" s="13" t="str">
        <x:v>Shop / System</x:v>
      </x:c>
      <x:c r="D23" s="13" t="str">
        <x:v>Status</x:v>
      </x:c>
      <x:c r="E23" s="13" t="str">
        <x:v>Runtime State</x:v>
      </x:c>
      <x:c r="F23" s="13" t="str">
        <x:v>Blocker / Next Action</x:v>
      </x:c>
      <x:c r="H23" s="79" t="str">
        <x:v>Curated family register: Curated family and runtime authority register. Full per-file hashes live in sourceassets_file_ledger.jsonl. Curated register contains 26 families, including 7 supplied-today families and 21 supplied-today source files.
Exhaustive ledger: 5,990 files · 37.098 GiB · PASS — 5,990 / 5,990 entries, 0 errors (non-hash validation, 2026-08-12 13:19 BST)
The workbook intentionally does not duplicate every file-ledger row.</x:v>
      </x:c>
      <x:c r="I23" s="80" t="str">
        <x:v>Curated family register: Curated family and runtime authority register. Full per-file hashes live in sourceassets_file_ledger.jsonl. Curated register contains 26 families, including 7 supplied-today families and 21 supplied-today source files.
Exhaustive ledger: 5,990 files · 37.098 GiB · PASS — 5,990 / 5,990 entries, 0 errors (non-hash validation, 2026-08-12 13:19 BST)
The workbook intentionally does not duplicate every file-ledger row.</x:v>
      </x:c>
      <x:c r="J23" s="80" t="str">
        <x:v>Curated family register: Curated family and runtime authority register. Full per-file hashes live in sourceassets_file_ledger.jsonl. Curated register contains 26 families, including 7 supplied-today families and 21 supplied-today source files.
Exhaustive ledger: 5,990 files · 37.098 GiB · PASS — 5,990 / 5,990 entries, 0 errors (non-hash validation, 2026-08-12 13:19 BST)
The workbook intentionally does not duplicate every file-ledger row.</x:v>
      </x:c>
      <x:c r="K23" s="80" t="str">
        <x:v>Curated family register: Curated family and runtime authority register. Full per-file hashes live in sourceassets_file_ledger.jsonl. Curated register contains 26 families, including 7 supplied-today families and 21 supplied-today source files.
Exhaustive ledger: 5,990 files · 37.098 GiB · PASS — 5,990 / 5,990 entries, 0 errors (non-hash validation, 2026-08-12 13:19 BST)
The workbook intentionally does not duplicate every file-ledger row.</x:v>
      </x:c>
      <x:c r="L23" s="80" t="str">
        <x:v>Curated family register: Curated family and runtime authority register. Full per-file hashes live in sourceassets_file_ledger.jsonl. Curated register contains 26 families, including 7 supplied-today families and 21 supplied-today source files.
Exhaustive ledger: 5,990 files · 37.098 GiB · PASS — 5,990 / 5,990 entries, 0 errors (non-hash validation, 2026-08-12 13:19 BST)
The workbook intentionally does not duplicate every file-ledger row.</x:v>
      </x:c>
      <x:c r="M23" s="80" t="str">
        <x:v>Curated family register: Curated family and runtime authority register. Full per-file hashes live in sourceassets_file_ledger.jsonl. Curated register contains 26 families, including 7 supplied-today families and 21 supplied-today source files.
Exhaustive ledger: 5,990 files · 37.098 GiB · PASS — 5,990 / 5,990 entries, 0 errors (non-hash validation, 2026-08-12 13:19 BST)
The workbook intentionally does not duplicate every file-ledger row.</x:v>
      </x:c>
      <x:c r="N23" s="81" t="str">
        <x:v>Curated family register: Curated family and runtime authority register. Full per-file hashes live in sourceassets_file_ledger.jsonl. Curated register contains 26 families, including 7 supplied-today families and 21 supplied-today source files.
Exhaustive ledger: 5,990 files · 37.098 GiB · PASS — 5,990 / 5,990 entries, 0 errors (non-hash validation, 2026-08-12 13:19 BST)
The workbook intentionally does not duplicate every file-ledger row.</x:v>
      </x:c>
    </x:row>
    <x:row r="24" ht="42" customHeight="1">
      <x:c r="A24" s="21" t="str">
        <x:f>IFERROR(INDEX('Asset Families'!$A$6:$A$31,MATCH(1,'Asset Families'!$U$6:$U$31,0)),"")</x:f>
        <x:v>LB_VACUUM_PANEL_PICK_EOAT_INTAKE_V001</x:v>
      </x:c>
      <x:c r="B24" s="21" t="str">
        <x:f>IFERROR(INDEX('Asset Families'!$B$6:$B$31,MATCH(1,'Asset Families'!$U$6:$U$31,0)),"")</x:f>
        <x:v>Universal vacuum panel-pick EOAT</x:v>
      </x:c>
      <x:c r="C24" s="21" t="str">
        <x:f>IFERROR(INDEX('Asset Families'!$C$6:$C$31,MATCH(1,'Asset Families'!$U$6:$U$31,0)),"")</x:f>
        <x:v>WeldShop</x:v>
      </x:c>
      <x:c r="D24" s="21" t="str">
        <x:f>IFERROR(INDEX('Asset Families'!$H$6:$H$31,MATCH(1,'Asset Families'!$U$6:$U$31,0)),"")</x:f>
        <x:v>REFERENCE_ONLY_RUNTIME_BLOCKED</x:v>
      </x:c>
      <x:c r="E24" s="21" t="str">
        <x:f>IFERROR(INDEX('Asset Families'!$L$6:$L$31,MATCH(1,'Asset Families'!$U$6:$U$31,0)),"")</x:f>
        <x:v>NOT_IMPORTED</x:v>
      </x:c>
      <x:c r="F24" s="21" t="str">
        <x:f>IFERROR(INDEX('Asset Families'!$O$6:$O$31,MATCH(1,'Asset Families'!$U$6:$U$31,0)),"")</x:f>
        <x:v>Rebuild from six visible cups to the specified eight, with flange root, arm pivots, contact sockets, collision and LODs.</x:v>
      </x:c>
      <x:c r="H24" s="82" t="str">
        <x:v>Curated family register: Curated family and runtime authority register. Full per-file hashes live in sourceassets_file_ledger.jsonl. Curated register contains 26 families, including 7 supplied-today families and 21 supplied-today source files.
Exhaustive ledger: 5,990 files · 37.098 GiB · PASS — 5,990 / 5,990 entries, 0 errors (non-hash validation, 2026-08-12 13:19 BST)
The workbook intentionally does not duplicate every file-ledger row.</x:v>
      </x:c>
      <x:c r="I24" s="83" t="str">
        <x:v>Curated family register: Curated family and runtime authority register. Full per-file hashes live in sourceassets_file_ledger.jsonl. Curated register contains 26 families, including 7 supplied-today families and 21 supplied-today source files.
Exhaustive ledger: 5,990 files · 37.098 GiB · PASS — 5,990 / 5,990 entries, 0 errors (non-hash validation, 2026-08-12 13:19 BST)
The workbook intentionally does not duplicate every file-ledger row.</x:v>
      </x:c>
      <x:c r="J24" s="83" t="str">
        <x:v>Curated family register: Curated family and runtime authority register. Full per-file hashes live in sourceassets_file_ledger.jsonl. Curated register contains 26 families, including 7 supplied-today families and 21 supplied-today source files.
Exhaustive ledger: 5,990 files · 37.098 GiB · PASS — 5,990 / 5,990 entries, 0 errors (non-hash validation, 2026-08-12 13:19 BST)
The workbook intentionally does not duplicate every file-ledger row.</x:v>
      </x:c>
      <x:c r="K24" s="83" t="str">
        <x:v>Curated family register: Curated family and runtime authority register. Full per-file hashes live in sourceassets_file_ledger.jsonl. Curated register contains 26 families, including 7 supplied-today families and 21 supplied-today source files.
Exhaustive ledger: 5,990 files · 37.098 GiB · PASS — 5,990 / 5,990 entries, 0 errors (non-hash validation, 2026-08-12 13:19 BST)
The workbook intentionally does not duplicate every file-ledger row.</x:v>
      </x:c>
      <x:c r="L24" s="83" t="str">
        <x:v>Curated family register: Curated family and runtime authority register. Full per-file hashes live in sourceassets_file_ledger.jsonl. Curated register contains 26 families, including 7 supplied-today families and 21 supplied-today source files.
Exhaustive ledger: 5,990 files · 37.098 GiB · PASS — 5,990 / 5,990 entries, 0 errors (non-hash validation, 2026-08-12 13:19 BST)
The workbook intentionally does not duplicate every file-ledger row.</x:v>
      </x:c>
      <x:c r="M24" s="83" t="str">
        <x:v>Curated family register: Curated family and runtime authority register. Full per-file hashes live in sourceassets_file_ledger.jsonl. Curated register contains 26 families, including 7 supplied-today families and 21 supplied-today source files.
Exhaustive ledger: 5,990 files · 37.098 GiB · PASS — 5,990 / 5,990 entries, 0 errors (non-hash validation, 2026-08-12 13:19 BST)
The workbook intentionally does not duplicate every file-ledger row.</x:v>
      </x:c>
      <x:c r="N24" s="84" t="str">
        <x:v>Curated family register: Curated family and runtime authority register. Full per-file hashes live in sourceassets_file_ledger.jsonl. Curated register contains 26 families, including 7 supplied-today families and 21 supplied-today source files.
Exhaustive ledger: 5,990 files · 37.098 GiB · PASS — 5,990 / 5,990 entries, 0 errors (non-hash validation, 2026-08-12 13:19 BST)
The workbook intentionally does not duplicate every file-ledger row.</x:v>
      </x:c>
    </x:row>
    <x:row r="25" ht="42" customHeight="1">
      <x:c r="A25" s="22" t="str">
        <x:f>IFERROR(INDEX('Asset Families'!$A$6:$A$31,MATCH(2,'Asset Families'!$U$6:$U$31,0)),"")</x:f>
        <x:v>LB_BODY_WELD_FRAMING_FIXTURE_INTAKE_V001</x:v>
      </x:c>
      <x:c r="B25" s="22" t="str">
        <x:f>IFERROR(INDEX('Asset Families'!$B$6:$B$31,MATCH(2,'Asset Families'!$U$6:$U$31,0)),"")</x:f>
        <x:v>Cairnwell 2040 body-weld framing fixture</x:v>
      </x:c>
      <x:c r="C25" s="22" t="str">
        <x:f>IFERROR(INDEX('Asset Families'!$C$6:$C$31,MATCH(2,'Asset Families'!$U$6:$U$31,0)),"")</x:f>
        <x:v>WeldShop</x:v>
      </x:c>
      <x:c r="D25" s="22" t="str">
        <x:f>IFERROR(INDEX('Asset Families'!$H$6:$H$31,MATCH(2,'Asset Families'!$U$6:$U$31,0)),"")</x:f>
        <x:v>REFERENCE_ONLY_RUNTIME_BLOCKED</x:v>
      </x:c>
      <x:c r="E25" s="22" t="str">
        <x:f>IFERROR(INDEX('Asset Families'!$L$6:$L$31,MATCH(2,'Asset Families'!$U$6:$U$31,0)),"")</x:f>
        <x:v>NOT_IMPORTED</x:v>
      </x:c>
      <x:c r="F25" s="22" t="str">
        <x:f>IFERROR(INDEX('Asset Families'!$O$6:$O$31,MATCH(2,'Asset Families'!$U$6:$U$31,0)),"")</x:f>
        <x:v>Modular optimized rebuild with approved scale, towers/clamps/slides/pivots, collision and placement envelope.</x:v>
      </x:c>
      <x:c r="H25" s="82" t="str">
        <x:v>Curated family register: Curated family and runtime authority register. Full per-file hashes live in sourceassets_file_ledger.jsonl. Curated register contains 26 families, including 7 supplied-today families and 21 supplied-today source files.
Exhaustive ledger: 5,990 files · 37.098 GiB · PASS — 5,990 / 5,990 entries, 0 errors (non-hash validation, 2026-08-12 13:19 BST)
The workbook intentionally does not duplicate every file-ledger row.</x:v>
      </x:c>
      <x:c r="I25" s="83" t="str">
        <x:v>Curated family register: Curated family and runtime authority register. Full per-file hashes live in sourceassets_file_ledger.jsonl. Curated register contains 26 families, including 7 supplied-today families and 21 supplied-today source files.
Exhaustive ledger: 5,990 files · 37.098 GiB · PASS — 5,990 / 5,990 entries, 0 errors (non-hash validation, 2026-08-12 13:19 BST)
The workbook intentionally does not duplicate every file-ledger row.</x:v>
      </x:c>
      <x:c r="J25" s="83" t="str">
        <x:v>Curated family register: Curated family and runtime authority register. Full per-file hashes live in sourceassets_file_ledger.jsonl. Curated register contains 26 families, including 7 supplied-today families and 21 supplied-today source files.
Exhaustive ledger: 5,990 files · 37.098 GiB · PASS — 5,990 / 5,990 entries, 0 errors (non-hash validation, 2026-08-12 13:19 BST)
The workbook intentionally does not duplicate every file-ledger row.</x:v>
      </x:c>
      <x:c r="K25" s="83" t="str">
        <x:v>Curated family register: Curated family and runtime authority register. Full per-file hashes live in sourceassets_file_ledger.jsonl. Curated register contains 26 families, including 7 supplied-today families and 21 supplied-today source files.
Exhaustive ledger: 5,990 files · 37.098 GiB · PASS — 5,990 / 5,990 entries, 0 errors (non-hash validation, 2026-08-12 13:19 BST)
The workbook intentionally does not duplicate every file-ledger row.</x:v>
      </x:c>
      <x:c r="L25" s="83" t="str">
        <x:v>Curated family register: Curated family and runtime authority register. Full per-file hashes live in sourceassets_file_ledger.jsonl. Curated register contains 26 families, including 7 supplied-today families and 21 supplied-today source files.
Exhaustive ledger: 5,990 files · 37.098 GiB · PASS — 5,990 / 5,990 entries, 0 errors (non-hash validation, 2026-08-12 13:19 BST)
The workbook intentionally does not duplicate every file-ledger row.</x:v>
      </x:c>
      <x:c r="M25" s="83" t="str">
        <x:v>Curated family register: Curated family and runtime authority register. Full per-file hashes live in sourceassets_file_ledger.jsonl. Curated register contains 26 families, including 7 supplied-today families and 21 supplied-today source files.
Exhaustive ledger: 5,990 files · 37.098 GiB · PASS — 5,990 / 5,990 entries, 0 errors (non-hash validation, 2026-08-12 13:19 BST)
The workbook intentionally does not duplicate every file-ledger row.</x:v>
      </x:c>
      <x:c r="N25" s="84" t="str">
        <x:v>Curated family register: Curated family and runtime authority register. Full per-file hashes live in sourceassets_file_ledger.jsonl. Curated register contains 26 families, including 7 supplied-today families and 21 supplied-today source files.
Exhaustive ledger: 5,990 files · 37.098 GiB · PASS — 5,990 / 5,990 entries, 0 errors (non-hash validation, 2026-08-12 13:19 BST)
The workbook intentionally does not duplicate every file-ledger row.</x:v>
      </x:c>
    </x:row>
    <x:row r="26" ht="42" customHeight="1">
      <x:c r="A26" s="22" t="str">
        <x:f>IFERROR(INDEX('Asset Families'!$A$6:$A$31,MATCH(3,'Asset Families'!$U$6:$U$31,0)),"")</x:f>
        <x:v>LB_BODY_WELD_MESHY_TEXT_PREVIEW_V001</x:v>
      </x:c>
      <x:c r="B26" s="22" t="str">
        <x:f>IFERROR(INDEX('Asset Families'!$B$6:$B$31,MATCH(3,'Asset Families'!$U$6:$U$31,0)),"")</x:f>
        <x:v>Rejected Meshy body-weld text preview</x:v>
      </x:c>
      <x:c r="C26" s="22" t="str">
        <x:f>IFERROR(INDEX('Asset Families'!$C$6:$C$31,MATCH(3,'Asset Families'!$U$6:$U$31,0)),"")</x:f>
        <x:v>WeldShop</x:v>
      </x:c>
      <x:c r="D26" s="22" t="str">
        <x:f>IFERROR(INDEX('Asset Families'!$H$6:$H$31,MATCH(3,'Asset Families'!$U$6:$U$31,0)),"")</x:f>
        <x:v>REJECTED_DO_NOT_USE</x:v>
      </x:c>
      <x:c r="E26" s="22" t="str">
        <x:f>IFERROR(INDEX('Asset Families'!$L$6:$L$31,MATCH(3,'Asset Families'!$U$6:$U$31,0)),"")</x:f>
        <x:v>PROHIBITED</x:v>
      </x:c>
      <x:c r="F26" s="22" t="str">
        <x:f>IFERROR(INDEX('Asset Families'!$O$6:$O$31,MATCH(3,'Asset Families'!$U$6:$U$31,0)),"")</x:f>
        <x:v>Do not refine or import; it fused a finished car into a gantry and is superseded by the user-supplied Precision Assembly Frame family.</x:v>
      </x:c>
      <x:c r="H26" s="85" t="str">
        <x:v>Curated family register: Curated family and runtime authority register. Full per-file hashes live in sourceassets_file_ledger.jsonl. Curated register contains 26 families, including 7 supplied-today families and 21 supplied-today source files.
Exhaustive ledger: 5,990 files · 37.098 GiB · PASS — 5,990 / 5,990 entries, 0 errors (non-hash validation, 2026-08-12 13:19 BST)
The workbook intentionally does not duplicate every file-ledger row.</x:v>
      </x:c>
      <x:c r="I26" s="86" t="str">
        <x:v>Curated family register: Curated family and runtime authority register. Full per-file hashes live in sourceassets_file_ledger.jsonl. Curated register contains 26 families, including 7 supplied-today families and 21 supplied-today source files.
Exhaustive ledger: 5,990 files · 37.098 GiB · PASS — 5,990 / 5,990 entries, 0 errors (non-hash validation, 2026-08-12 13:19 BST)
The workbook intentionally does not duplicate every file-ledger row.</x:v>
      </x:c>
      <x:c r="J26" s="86" t="str">
        <x:v>Curated family register: Curated family and runtime authority register. Full per-file hashes live in sourceassets_file_ledger.jsonl. Curated register contains 26 families, including 7 supplied-today families and 21 supplied-today source files.
Exhaustive ledger: 5,990 files · 37.098 GiB · PASS — 5,990 / 5,990 entries, 0 errors (non-hash validation, 2026-08-12 13:19 BST)
The workbook intentionally does not duplicate every file-ledger row.</x:v>
      </x:c>
      <x:c r="K26" s="86" t="str">
        <x:v>Curated family register: Curated family and runtime authority register. Full per-file hashes live in sourceassets_file_ledger.jsonl. Curated register contains 26 families, including 7 supplied-today families and 21 supplied-today source files.
Exhaustive ledger: 5,990 files · 37.098 GiB · PASS — 5,990 / 5,990 entries, 0 errors (non-hash validation, 2026-08-12 13:19 BST)
The workbook intentionally does not duplicate every file-ledger row.</x:v>
      </x:c>
      <x:c r="L26" s="86" t="str">
        <x:v>Curated family register: Curated family and runtime authority register. Full per-file hashes live in sourceassets_file_ledger.jsonl. Curated register contains 26 families, including 7 supplied-today families and 21 supplied-today source files.
Exhaustive ledger: 5,990 files · 37.098 GiB · PASS — 5,990 / 5,990 entries, 0 errors (non-hash validation, 2026-08-12 13:19 BST)
The workbook intentionally does not duplicate every file-ledger row.</x:v>
      </x:c>
      <x:c r="M26" s="86" t="str">
        <x:v>Curated family register: Curated family and runtime authority register. Full per-file hashes live in sourceassets_file_ledger.jsonl. Curated register contains 26 families, including 7 supplied-today families and 21 supplied-today source files.
Exhaustive ledger: 5,990 files · 37.098 GiB · PASS — 5,990 / 5,990 entries, 0 errors (non-hash validation, 2026-08-12 13:19 BST)
The workbook intentionally does not duplicate every file-ledger row.</x:v>
      </x:c>
      <x:c r="N26" s="87" t="str">
        <x:v>Curated family register: Curated family and runtime authority register. Full per-file hashes live in sourceassets_file_ledger.jsonl. Curated register contains 26 families, including 7 supplied-today families and 21 supplied-today source files.
Exhaustive ledger: 5,990 files · 37.098 GiB · PASS — 5,990 / 5,990 entries, 0 errors (non-hash validation, 2026-08-12 13:19 BST)
The workbook intentionally does not duplicate every file-ledger row.</x:v>
      </x:c>
    </x:row>
    <x:row r="27" ht="42" customHeight="1">
      <x:c r="A27" s="22" t="str">
        <x:f>IFERROR(INDEX('Asset Families'!$A$6:$A$31,MATCH(4,'Asset Families'!$U$6:$U$31,0)),"")</x:f>
      </x:c>
      <x:c r="B27" s="22" t="str">
        <x:f>IFERROR(INDEX('Asset Families'!$B$6:$B$31,MATCH(4,'Asset Families'!$U$6:$U$31,0)),"")</x:f>
      </x:c>
      <x:c r="C27" s="22" t="str">
        <x:f>IFERROR(INDEX('Asset Families'!$C$6:$C$31,MATCH(4,'Asset Families'!$U$6:$U$31,0)),"")</x:f>
      </x:c>
      <x:c r="D27" s="22" t="str">
        <x:f>IFERROR(INDEX('Asset Families'!$H$6:$H$31,MATCH(4,'Asset Families'!$U$6:$U$31,0)),"")</x:f>
      </x:c>
      <x:c r="E27" s="22" t="str">
        <x:f>IFERROR(INDEX('Asset Families'!$L$6:$L$31,MATCH(4,'Asset Families'!$U$6:$U$31,0)),"")</x:f>
      </x:c>
      <x:c r="F27" s="22" t="str">
        <x:f>IFERROR(INDEX('Asset Families'!$O$6:$O$31,MATCH(4,'Asset Families'!$U$6:$U$31,0)),"")</x:f>
      </x:c>
    </x:row>
    <x:row r="28" ht="42" customHeight="1">
      <x:c r="A28" s="22" t="str">
        <x:f>IFERROR(INDEX('Asset Families'!$A$6:$A$31,MATCH(5,'Asset Families'!$U$6:$U$31,0)),"")</x:f>
      </x:c>
      <x:c r="B28" s="22" t="str">
        <x:f>IFERROR(INDEX('Asset Families'!$B$6:$B$31,MATCH(5,'Asset Families'!$U$6:$U$31,0)),"")</x:f>
      </x:c>
      <x:c r="C28" s="22" t="str">
        <x:f>IFERROR(INDEX('Asset Families'!$C$6:$C$31,MATCH(5,'Asset Families'!$U$6:$U$31,0)),"")</x:f>
      </x:c>
      <x:c r="D28" s="22" t="str">
        <x:f>IFERROR(INDEX('Asset Families'!$H$6:$H$31,MATCH(5,'Asset Families'!$U$6:$U$31,0)),"")</x:f>
      </x:c>
      <x:c r="E28" s="22" t="str">
        <x:f>IFERROR(INDEX('Asset Families'!$L$6:$L$31,MATCH(5,'Asset Families'!$U$6:$U$31,0)),"")</x:f>
      </x:c>
      <x:c r="F28" s="22" t="str">
        <x:f>IFERROR(INDEX('Asset Families'!$O$6:$O$31,MATCH(5,'Asset Families'!$U$6:$U$31,0)),"")</x:f>
      </x:c>
    </x:row>
    <x:row r="29" ht="42" customHeight="1">
      <x:c r="A29" s="22" t="str">
        <x:f>IFERROR(INDEX('Asset Families'!$A$6:$A$31,MATCH(6,'Asset Families'!$U$6:$U$31,0)),"")</x:f>
      </x:c>
      <x:c r="B29" s="22" t="str">
        <x:f>IFERROR(INDEX('Asset Families'!$B$6:$B$31,MATCH(6,'Asset Families'!$U$6:$U$31,0)),"")</x:f>
      </x:c>
      <x:c r="C29" s="22" t="str">
        <x:f>IFERROR(INDEX('Asset Families'!$C$6:$C$31,MATCH(6,'Asset Families'!$U$6:$U$31,0)),"")</x:f>
      </x:c>
      <x:c r="D29" s="22" t="str">
        <x:f>IFERROR(INDEX('Asset Families'!$H$6:$H$31,MATCH(6,'Asset Families'!$U$6:$U$31,0)),"")</x:f>
      </x:c>
      <x:c r="E29" s="22" t="str">
        <x:f>IFERROR(INDEX('Asset Families'!$L$6:$L$31,MATCH(6,'Asset Families'!$U$6:$U$31,0)),"")</x:f>
      </x:c>
      <x:c r="F29" s="22" t="str">
        <x:f>IFERROR(INDEX('Asset Families'!$O$6:$O$31,MATCH(6,'Asset Families'!$U$6:$U$31,0)),"")</x:f>
      </x:c>
    </x:row>
    <x:row r="30" ht="42" customHeight="1">
      <x:c r="A30" s="22" t="str">
        <x:f>IFERROR(INDEX('Asset Families'!$A$6:$A$31,MATCH(7,'Asset Families'!$U$6:$U$31,0)),"")</x:f>
      </x:c>
      <x:c r="B30" s="22" t="str">
        <x:f>IFERROR(INDEX('Asset Families'!$B$6:$B$31,MATCH(7,'Asset Families'!$U$6:$U$31,0)),"")</x:f>
      </x:c>
      <x:c r="C30" s="22" t="str">
        <x:f>IFERROR(INDEX('Asset Families'!$C$6:$C$31,MATCH(7,'Asset Families'!$U$6:$U$31,0)),"")</x:f>
      </x:c>
      <x:c r="D30" s="22" t="str">
        <x:f>IFERROR(INDEX('Asset Families'!$H$6:$H$31,MATCH(7,'Asset Families'!$U$6:$U$31,0)),"")</x:f>
      </x:c>
      <x:c r="E30" s="22" t="str">
        <x:f>IFERROR(INDEX('Asset Families'!$L$6:$L$31,MATCH(7,'Asset Families'!$U$6:$U$31,0)),"")</x:f>
      </x:c>
      <x:c r="F30" s="22" t="str">
        <x:f>IFERROR(INDEX('Asset Families'!$O$6:$O$31,MATCH(7,'Asset Families'!$U$6:$U$31,0)),"")</x:f>
      </x:c>
    </x:row>
    <x:row r="31" ht="42" customHeight="1">
      <x:c r="A31" s="22" t="str">
        <x:f>IFERROR(INDEX('Asset Families'!$A$6:$A$31,MATCH(8,'Asset Families'!$U$6:$U$31,0)),"")</x:f>
      </x:c>
      <x:c r="B31" s="22" t="str">
        <x:f>IFERROR(INDEX('Asset Families'!$B$6:$B$31,MATCH(8,'Asset Families'!$U$6:$U$31,0)),"")</x:f>
      </x:c>
      <x:c r="C31" s="22" t="str">
        <x:f>IFERROR(INDEX('Asset Families'!$C$6:$C$31,MATCH(8,'Asset Families'!$U$6:$U$31,0)),"")</x:f>
      </x:c>
      <x:c r="D31" s="22" t="str">
        <x:f>IFERROR(INDEX('Asset Families'!$H$6:$H$31,MATCH(8,'Asset Families'!$U$6:$U$31,0)),"")</x:f>
      </x:c>
      <x:c r="E31" s="22" t="str">
        <x:f>IFERROR(INDEX('Asset Families'!$L$6:$L$31,MATCH(8,'Asset Families'!$U$6:$U$31,0)),"")</x:f>
      </x:c>
      <x:c r="F31" s="22" t="str">
        <x:f>IFERROR(INDEX('Asset Families'!$O$6:$O$31,MATCH(8,'Asset Families'!$U$6:$U$31,0)),"")</x:f>
      </x:c>
    </x:row>
    <x:row r="32" ht="42" customHeight="1">
      <x:c r="A32" s="22" t="str">
        <x:f>IFERROR(INDEX('Asset Families'!$A$6:$A$31,MATCH(9,'Asset Families'!$U$6:$U$31,0)),"")</x:f>
      </x:c>
      <x:c r="B32" s="22" t="str">
        <x:f>IFERROR(INDEX('Asset Families'!$B$6:$B$31,MATCH(9,'Asset Families'!$U$6:$U$31,0)),"")</x:f>
      </x:c>
      <x:c r="C32" s="22" t="str">
        <x:f>IFERROR(INDEX('Asset Families'!$C$6:$C$31,MATCH(9,'Asset Families'!$U$6:$U$31,0)),"")</x:f>
      </x:c>
      <x:c r="D32" s="22" t="str">
        <x:f>IFERROR(INDEX('Asset Families'!$H$6:$H$31,MATCH(9,'Asset Families'!$U$6:$U$31,0)),"")</x:f>
      </x:c>
      <x:c r="E32" s="22" t="str">
        <x:f>IFERROR(INDEX('Asset Families'!$L$6:$L$31,MATCH(9,'Asset Families'!$U$6:$U$31,0)),"")</x:f>
      </x:c>
      <x:c r="F32" s="22" t="str">
        <x:f>IFERROR(INDEX('Asset Families'!$O$6:$O$31,MATCH(9,'Asset Families'!$U$6:$U$31,0)),"")</x:f>
      </x:c>
    </x:row>
    <x:row r="33" ht="42" customHeight="1">
      <x:c r="A33" s="23" t="str">
        <x:f>IFERROR(INDEX('Asset Families'!$A$6:$A$31,MATCH(10,'Asset Families'!$U$6:$U$31,0)),"")</x:f>
      </x:c>
      <x:c r="B33" s="23" t="str">
        <x:f>IFERROR(INDEX('Asset Families'!$B$6:$B$31,MATCH(10,'Asset Families'!$U$6:$U$31,0)),"")</x:f>
      </x:c>
      <x:c r="C33" s="23" t="str">
        <x:f>IFERROR(INDEX('Asset Families'!$C$6:$C$31,MATCH(10,'Asset Families'!$U$6:$U$31,0)),"")</x:f>
      </x:c>
      <x:c r="D33" s="23" t="str">
        <x:f>IFERROR(INDEX('Asset Families'!$H$6:$H$31,MATCH(10,'Asset Families'!$U$6:$U$31,0)),"")</x:f>
      </x:c>
      <x:c r="E33" s="23" t="str">
        <x:f>IFERROR(INDEX('Asset Families'!$L$6:$L$31,MATCH(10,'Asset Families'!$U$6:$U$31,0)),"")</x:f>
      </x:c>
      <x:c r="F33" s="23" t="str">
        <x:f>IFERROR(INDEX('Asset Families'!$O$6:$O$31,MATCH(10,'Asset Families'!$U$6:$U$31,0)),"")</x:f>
      </x:c>
    </x:row>
  </x:sheetData>
  <x:mergeCells>
    <x:mergeCell ref="A1:N1"/>
    <x:mergeCell ref="A2:N2"/>
    <x:mergeCell ref="A4:B4"/>
    <x:mergeCell ref="A5:B6"/>
    <x:mergeCell ref="D4:E4"/>
    <x:mergeCell ref="D5:E6"/>
    <x:mergeCell ref="G4:H4"/>
    <x:mergeCell ref="G5:H6"/>
    <x:mergeCell ref="J4:K4"/>
    <x:mergeCell ref="J5:K6"/>
    <x:mergeCell ref="M4:N4"/>
    <x:mergeCell ref="M5:N6"/>
    <x:mergeCell ref="A22:F22"/>
    <x:mergeCell ref="H22:N22"/>
    <x:mergeCell ref="H23:N26"/>
  </x:mergeCells>
  <x:conditionalFormatting sqref="A9:A13">
    <x:cfRule type="containsText" dxfId="17" priority="1" operator="containsText" text="REFERENCE_ONLY_RUNTIME_BLOCKED"/>
    <x:cfRule type="containsText" dxfId="18" priority="2" operator="containsText" text="RUNTIME_CANDIDATE_NOT_IMPORTED"/>
    <x:cfRule type="containsText" dxfId="19" priority="3" operator="containsText" text="UNREAL_IMPORTED_CANDIDATE"/>
    <x:cfRule type="containsText" dxfId="20" priority="4" operator="containsText" text="REJECTED_DO_NOT_USE"/>
    <x:cfRule type="containsText" dxfId="21" priority="5" operator="containsText" text="CURATED_SOURCE_AUTHORITY"/>
  </x:conditionalFormatting>
  <x:conditionalFormatting sqref="D24:D33">
    <x:cfRule type="containsText" dxfId="22" priority="6" operator="containsText" text="REFERENCE_ONLY_RUNTIME_BLOCKED"/>
    <x:cfRule type="containsText" dxfId="23" priority="7" operator="containsText" text="RUNTIME_CANDIDATE_NOT_IMPORTED"/>
    <x:cfRule type="containsText" dxfId="24" priority="8" operator="containsText" text="UNREAL_IMPORTED_CANDIDATE"/>
    <x:cfRule type="containsText" dxfId="25" priority="9" operator="containsText" text="REJECTED_DO_NOT_USE"/>
    <x:cfRule type="containsText" dxfId="26" priority="10" operator="containsText" text="CURATED_SOURCE_AUTHORITY"/>
  </x:conditionalFormatting>
  <x:pageMargins left="0.7" right="0.7" top="0.75" bottom="0.75" header="0.3" footer="0.3"/>
  <x:drawing xmlns:r="http://schemas.openxmlformats.org/officeDocument/2006/relationships" r:id="R780a23eaba4e4aa6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0" hidden="0" customWidth="1"/>
    <x:col min="3" max="3" width="22" hidden="0" customWidth="1"/>
    <x:col min="4" max="4" width="22" hidden="0" customWidth="1"/>
    <x:col min="5" max="5" width="40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8" hidden="0" customWidth="1"/>
    <x:col min="11" max="11" width="18" hidden="0" customWidth="1"/>
    <x:col min="12" max="12" width="18" hidden="0" customWidth="1"/>
    <x:col min="13" max="13" width="42" hidden="0" customWidth="1"/>
    <x:col min="14" max="14" width="19" hidden="0" customWidth="1"/>
    <x:col min="15" max="15" width="34" hidden="0" customWidth="1"/>
    <x:col min="16" max="16" width="34" hidden="0" customWidth="1"/>
    <x:col min="17" max="17" width="34" hidden="0" customWidth="1"/>
    <x:col min="18" max="18" width="15" hidden="0" customWidth="1"/>
    <x:col min="19" max="19" width="34" hidden="0" customWidth="1"/>
    <x:col min="20" max="20" width="13" hidden="0" customWidth="1"/>
    <x:col min="21" max="21" width="13" hidden="0" customWidth="1"/>
  </x:cols>
  <x:sheetData>
    <x:row r="1" ht="34" customHeight="1">
      <x:c r="A1" s="3" t="str">
        <x:v>LINE BOSS  |  Curated Asset Families</x:v>
      </x:c>
      <x:c r="B1" s="3" t="str">
        <x:v>LINE BOSS  |  Curated Asset Families</x:v>
      </x:c>
      <x:c r="C1" s="3" t="str">
        <x:v>LINE BOSS  |  Curated Asset Families</x:v>
      </x:c>
      <x:c r="D1" s="3" t="str">
        <x:v>LINE BOSS  |  Curated Asset Families</x:v>
      </x:c>
      <x:c r="E1" s="3" t="str">
        <x:v>LINE BOSS  |  Curated Asset Families</x:v>
      </x:c>
      <x:c r="F1" s="3" t="str">
        <x:v>LINE BOSS  |  Curated Asset Families</x:v>
      </x:c>
      <x:c r="G1" s="3" t="str">
        <x:v>LINE BOSS  |  Curated Asset Families</x:v>
      </x:c>
      <x:c r="H1" s="3" t="str">
        <x:v>LINE BOSS  |  Curated Asset Families</x:v>
      </x:c>
      <x:c r="I1" s="3" t="str">
        <x:v>LINE BOSS  |  Curated Asset Families</x:v>
      </x:c>
      <x:c r="J1" s="3" t="str">
        <x:v>LINE BOSS  |  Curated Asset Families</x:v>
      </x:c>
      <x:c r="K1" s="3" t="str">
        <x:v>LINE BOSS  |  Curated Asset Families</x:v>
      </x:c>
      <x:c r="L1" s="3" t="str">
        <x:v>LINE BOSS  |  Curated Asset Families</x:v>
      </x:c>
      <x:c r="M1" s="3" t="str">
        <x:v>LINE BOSS  |  Curated Asset Families</x:v>
      </x:c>
      <x:c r="N1" s="3" t="str">
        <x:v>LINE BOSS  |  Curated Asset Families</x:v>
      </x:c>
      <x:c r="O1" s="3" t="str">
        <x:v>LINE BOSS  |  Curated Asset Families</x:v>
      </x:c>
      <x:c r="P1" s="3" t="str">
        <x:v>LINE BOSS  |  Curated Asset Families</x:v>
      </x:c>
      <x:c r="Q1" s="3" t="str">
        <x:v>LINE BOSS  |  Curated Asset Families</x:v>
      </x:c>
      <x:c r="R1" s="3" t="str">
        <x:v>LINE BOSS  |  Curated Asset Families</x:v>
      </x:c>
      <x:c r="S1" s="3" t="str">
        <x:v>LINE BOSS  |  Curated Asset Families</x:v>
      </x:c>
      <x:c r="T1" s="3" t="str">
        <x:v>LINE BOSS  |  Curated Asset Families</x:v>
      </x:c>
      <x:c r="U1" s="3" t="str">
        <x:v>LINE BOSS  |  Curated Asset Families</x:v>
      </x:c>
    </x:row>
    <x:row r="2" ht="27" customHeight="1">
      <x:c r="A2" s="8" t="str">
        <x:v>One row per gameplay-relevant family. Status and priority are editable controls; source evidence, audit outcome, runtime binding and blockers remain visible in the same row.</x:v>
      </x:c>
      <x:c r="B2" s="8" t="str">
        <x:v>One row per gameplay-relevant family. Status and priority are editable controls; source evidence, audit outcome, runtime binding and blockers remain visible in the same row.</x:v>
      </x:c>
      <x:c r="C2" s="8" t="str">
        <x:v>One row per gameplay-relevant family. Status and priority are editable controls; source evidence, audit outcome, runtime binding and blockers remain visible in the same row.</x:v>
      </x:c>
      <x:c r="D2" s="8" t="str">
        <x:v>One row per gameplay-relevant family. Status and priority are editable controls; source evidence, audit outcome, runtime binding and blockers remain visible in the same row.</x:v>
      </x:c>
      <x:c r="E2" s="8" t="str">
        <x:v>One row per gameplay-relevant family. Status and priority are editable controls; source evidence, audit outcome, runtime binding and blockers remain visible in the same row.</x:v>
      </x:c>
      <x:c r="F2" s="8" t="str">
        <x:v>One row per gameplay-relevant family. Status and priority are editable controls; source evidence, audit outcome, runtime binding and blockers remain visible in the same row.</x:v>
      </x:c>
      <x:c r="G2" s="8" t="str">
        <x:v>One row per gameplay-relevant family. Status and priority are editable controls; source evidence, audit outcome, runtime binding and blockers remain visible in the same row.</x:v>
      </x:c>
      <x:c r="H2" s="8" t="str">
        <x:v>One row per gameplay-relevant family. Status and priority are editable controls; source evidence, audit outcome, runtime binding and blockers remain visible in the same row.</x:v>
      </x:c>
      <x:c r="I2" s="8" t="str">
        <x:v>One row per gameplay-relevant family. Status and priority are editable controls; source evidence, audit outcome, runtime binding and blockers remain visible in the same row.</x:v>
      </x:c>
      <x:c r="J2" s="8" t="str">
        <x:v>One row per gameplay-relevant family. Status and priority are editable controls; source evidence, audit outcome, runtime binding and blockers remain visible in the same row.</x:v>
      </x:c>
      <x:c r="K2" s="8" t="str">
        <x:v>One row per gameplay-relevant family. Status and priority are editable controls; source evidence, audit outcome, runtime binding and blockers remain visible in the same row.</x:v>
      </x:c>
      <x:c r="L2" s="8" t="str">
        <x:v>One row per gameplay-relevant family. Status and priority are editable controls; source evidence, audit outcome, runtime binding and blockers remain visible in the same row.</x:v>
      </x:c>
      <x:c r="M2" s="8" t="str">
        <x:v>One row per gameplay-relevant family. Status and priority are editable controls; source evidence, audit outcome, runtime binding and blockers remain visible in the same row.</x:v>
      </x:c>
      <x:c r="N2" s="8" t="str">
        <x:v>One row per gameplay-relevant family. Status and priority are editable controls; source evidence, audit outcome, runtime binding and blockers remain visible in the same row.</x:v>
      </x:c>
      <x:c r="O2" s="8" t="str">
        <x:v>One row per gameplay-relevant family. Status and priority are editable controls; source evidence, audit outcome, runtime binding and blockers remain visible in the same row.</x:v>
      </x:c>
      <x:c r="P2" s="8" t="str">
        <x:v>One row per gameplay-relevant family. Status and priority are editable controls; source evidence, audit outcome, runtime binding and blockers remain visible in the same row.</x:v>
      </x:c>
      <x:c r="Q2" s="8" t="str">
        <x:v>One row per gameplay-relevant family. Status and priority are editable controls; source evidence, audit outcome, runtime binding and blockers remain visible in the same row.</x:v>
      </x:c>
      <x:c r="R2" s="8" t="str">
        <x:v>One row per gameplay-relevant family. Status and priority are editable controls; source evidence, audit outcome, runtime binding and blockers remain visible in the same row.</x:v>
      </x:c>
      <x:c r="S2" s="8" t="str">
        <x:v>One row per gameplay-relevant family. Status and priority are editable controls; source evidence, audit outcome, runtime binding and blockers remain visible in the same row.</x:v>
      </x:c>
      <x:c r="T2" s="8" t="str">
        <x:v>One row per gameplay-relevant family. Status and priority are editable controls; source evidence, audit outcome, runtime binding and blockers remain visible in the same row.</x:v>
      </x:c>
      <x:c r="U2" s="8" t="str">
        <x:v>One row per gameplay-relevant family. Status and priority are editable controls; source evidence, audit outcome, runtime binding and blockers remain visible in the same row.</x:v>
      </x:c>
    </x:row>
    <x:row r="5" ht="29" customHeight="1">
      <x:c r="A5" s="13" t="str">
        <x:v>Family ID</x:v>
      </x:c>
      <x:c r="B5" s="13" t="str">
        <x:v>Asset Family</x:v>
      </x:c>
      <x:c r="C5" s="13" t="str">
        <x:v>Shop / System</x:v>
      </x:c>
      <x:c r="D5" s="13" t="str">
        <x:v>Gameplay Role</x:v>
      </x:c>
      <x:c r="E5" s="13" t="str">
        <x:v>Primary Source Authority</x:v>
      </x:c>
      <x:c r="F5" s="13" t="str">
        <x:v>Source Evidence Count</x:v>
      </x:c>
      <x:c r="G5" s="13" t="str">
        <x:v>Latest Version</x:v>
      </x:c>
      <x:c r="H5" s="13" t="str">
        <x:v>Catalog Status</x:v>
      </x:c>
      <x:c r="I5" s="13" t="str">
        <x:v>Priority</x:v>
      </x:c>
      <x:c r="J5" s="13" t="str">
        <x:v>Owner</x:v>
      </x:c>
      <x:c r="K5" s="13" t="str">
        <x:v>Audit Result</x:v>
      </x:c>
      <x:c r="L5" s="13" t="str">
        <x:v>Runtime State</x:v>
      </x:c>
      <x:c r="M5" s="13" t="str">
        <x:v>Runtime Asset / Path</x:v>
      </x:c>
      <x:c r="N5" s="13" t="str">
        <x:v>Promotion Decision</x:v>
      </x:c>
      <x:c r="O5" s="13" t="str">
        <x:v>Blocker / Next Action</x:v>
      </x:c>
      <x:c r="P5" s="13" t="str">
        <x:v>Provenance</x:v>
      </x:c>
      <x:c r="Q5" s="13" t="str">
        <x:v>License / Privacy</x:v>
      </x:c>
      <x:c r="R5" s="13" t="str">
        <x:v>Last Verified</x:v>
      </x:c>
      <x:c r="S5" s="13" t="str">
        <x:v>Notes</x:v>
      </x:c>
      <x:c r="T5" s="13" t="str">
        <x:v>Urgent Gap?</x:v>
      </x:c>
      <x:c r="U5" s="13" t="str">
        <x:v>Urgent Rank</x:v>
      </x:c>
    </x:row>
    <x:row r="6">
      <x:c r="A6" s="21" t="str">
        <x:v>LB_C2040_FINISHED_VEHICLE_VISUAL_INTAKE_V001</x:v>
      </x:c>
      <x:c r="B6" s="21" t="str">
        <x:v>Cairnwell 2040 finished crossover visual</x:v>
      </x:c>
      <x:c r="C6" s="21" t="str">
        <x:v>Vehicles/Cairnwell2040</x:v>
      </x:c>
      <x:c r="D6" s="21" t="str">
        <x:v>complete finished crossover appearance reference; explicitly not a skid or BIW</x:v>
      </x:c>
      <x:c r="E6" s="21" t="str">
        <x:v>SourceAssets/Candidate/Vehicles/Cairnwell2040/FinishedVehicleVisual_Intake_v001/Authority/GenerateTextureBranch/Meshy_AI_Industrial_automotive_0812061432_texture.blend</x:v>
      </x:c>
      <x:c r="F6" s="27" t="n">
        <x:v>3</x:v>
      </x:c>
      <x:c r="G6" s="21" t="str">
        <x:v>V001</x:v>
      </x:c>
      <x:c r="H6" s="21" t="str">
        <x:v>REFERENCE_ONLY_RUNTIME_BLOCKED</x:v>
      </x:c>
      <x:c r="I6" s="21" t="str"/>
      <x:c r="J6" s="21" t="str"/>
      <x:c r="K6" s="21" t="str">
        <x:v>PASS</x:v>
      </x:c>
      <x:c r="L6" s="21" t="str">
        <x:v>NOT_IMPORTED</x:v>
      </x:c>
      <x:c r="M6" s="21" t="str"/>
      <x:c r="N6" s="21" t="str"/>
      <x:c r="O6" s="21" t="str">
        <x:v>Use only as completed-vehicle visual reference; rebuild semantic optimized vehicle modules if gameplay requires a finished car.</x:v>
      </x:c>
      <x:c r="P6" s="21" t="str">
        <x:v>Supplied today by the project owner; reconciled into SourceAssets</x:v>
      </x:c>
      <x:c r="Q6" s="21" t="str">
        <x:v>Private Meshy/Blender source per project statement</x:v>
      </x:c>
      <x:c r="R6" s="29" t="n">
        <x:v>46246</x:v>
      </x:c>
      <x:c r="S6" s="21" t="str">
        <x:v>Meshy Industrial automotive 08120609-14</x:v>
      </x:c>
      <x:c r="T6" s="21" t="str">
        <x:v>No</x:v>
      </x:c>
      <x:c r="U6" s="32" t="str">
        <x:f>IF($T6="Yes",COUNTIF($T$6:T6,"Yes"),"")</x:f>
      </x:c>
    </x:row>
    <x:row r="7">
      <x:c r="A7" s="22" t="str">
        <x:v>LB_C2040_CHASSIS_FRAME_UNDERBODY_INTAKE_V001</x:v>
      </x:c>
      <x:c r="B7" s="22" t="str">
        <x:v>Cairnwell 2040 lower underbody and transport skid</x:v>
      </x:c>
      <x:c r="C7" s="22" t="str">
        <x:v>Vehicles/Cairnwell2040</x:v>
      </x:c>
      <x:c r="D7" s="22" t="str">
        <x:v>lower stamped underbody/base kit carried on a separate skid-like base; not a complete BIW</x:v>
      </x:c>
      <x:c r="E7" s="22" t="str">
        <x:v>SourceAssets/Candidate/Vehicles/Cairnwell2040/ChassisFrameUnderbody_Intake_v001/Authority/BranchA_GenerateTexture/Meshy_AI_Automotive_Chassis_Fr_0812064832_texture.blend</x:v>
      </x:c>
      <x:c r="F7" s="25" t="n">
        <x:v>4</x:v>
      </x:c>
      <x:c r="G7" s="22" t="str">
        <x:v>V001</x:v>
      </x:c>
      <x:c r="H7" s="22" t="str">
        <x:v>REFERENCE_ONLY_RUNTIME_BLOCKED</x:v>
      </x:c>
      <x:c r="I7" s="22" t="str"/>
      <x:c r="J7" s="22" t="str"/>
      <x:c r="K7" s="22" t="str">
        <x:v>PASS</x:v>
      </x:c>
      <x:c r="L7" s="22" t="str">
        <x:v>NOT_IMPORTED</x:v>
      </x:c>
      <x:c r="M7" s="22" t="str"/>
      <x:c r="N7" s="22" t="str"/>
      <x:c r="O7" s="22" t="str">
        <x:v>Use 4813 only as a visual split reference: its 20 generic objects do not establish a verified semantic body-versus-skid split. Rebuild semantic underbody groups and a genuinely separate skid; both segmentation alternates fail lineage to the coherent generate/texture branch.</x:v>
      </x:c>
      <x:c r="P7" s="22" t="str">
        <x:v>Supplied today by the project owner; reconciled into SourceAssets</x:v>
      </x:c>
      <x:c r="Q7" s="22" t="str">
        <x:v>Private Meshy/Blender source per project statement</x:v>
      </x:c>
      <x:c r="R7" s="30" t="n">
        <x:v>46246</x:v>
      </x:c>
      <x:c r="S7" s="22" t="str">
        <x:v>Meshy Automotive Chassis Frame 08120647-48</x:v>
      </x:c>
      <x:c r="T7" s="22" t="str">
        <x:v>No</x:v>
      </x:c>
      <x:c r="U7" s="33" t="str">
        <x:f>IF($T7="Yes",COUNTIF($T$6:T7,"Yes"),"")</x:f>
      </x:c>
    </x:row>
    <x:row r="8">
      <x:c r="A8" s="22" t="str">
        <x:v>LB_VISION_QUALITY_GATE_INTAKE_V001</x:v>
      </x:c>
      <x:c r="B8" s="22" t="str">
        <x:v>Body geometry and quality inspection gate</x:v>
      </x:c>
      <x:c r="C8" s="22" t="str">
        <x:v>WeldShop</x:v>
      </x:c>
      <x:c r="D8" s="22" t="str">
        <x:v>drive-through BIW vision/metrology gate</x:v>
      </x:c>
      <x:c r="E8" s="22" t="str">
        <x:v>SourceAssets/Candidate/WeldShop/VisionQualityGate_Intake_v001/Authority/GenerateTextureBranch/Meshy_AI_Industrial_Vision_Gat_0812065138_texture.blend</x:v>
      </x:c>
      <x:c r="F8" s="25" t="n">
        <x:v>3</x:v>
      </x:c>
      <x:c r="G8" s="22" t="str">
        <x:v>V001</x:v>
      </x:c>
      <x:c r="H8" s="22" t="str">
        <x:v>REFERENCE_ONLY_RUNTIME_BLOCKED</x:v>
      </x:c>
      <x:c r="I8" s="22" t="str"/>
      <x:c r="J8" s="22" t="str"/>
      <x:c r="K8" s="22" t="str">
        <x:v>PASS</x:v>
      </x:c>
      <x:c r="L8" s="22" t="str">
        <x:v>NOT_IMPORTED</x:v>
      </x:c>
      <x:c r="M8" s="22" t="str"/>
      <x:c r="N8" s="22" t="str"/>
      <x:c r="O8" s="22" t="str">
        <x:v>Modular rebuild at approved 4.5 x 1.2 x 3.2 m envelope with aimed scanner heads and gameplay trigger.</x:v>
      </x:c>
      <x:c r="P8" s="22" t="str">
        <x:v>Supplied today by the project owner; reconciled into SourceAssets</x:v>
      </x:c>
      <x:c r="Q8" s="22" t="str">
        <x:v>Private Meshy/Blender source per project statement</x:v>
      </x:c>
      <x:c r="R8" s="30" t="n">
        <x:v>46246</x:v>
      </x:c>
      <x:c r="S8" s="22" t="str">
        <x:v>Meshy Industrial Vision Gate 08120650-51</x:v>
      </x:c>
      <x:c r="T8" s="22" t="str">
        <x:v>No</x:v>
      </x:c>
      <x:c r="U8" s="33" t="str">
        <x:f>IF($T8="Yes",COUNTIF($T$6:T8,"Yes"),"")</x:f>
      </x:c>
    </x:row>
    <x:row r="9">
      <x:c r="A9" s="22" t="str">
        <x:v>LB_VACUUM_PANEL_PICK_EOAT_INTAKE_V001</x:v>
      </x:c>
      <x:c r="B9" s="22" t="str">
        <x:v>Universal vacuum panel-pick EOAT</x:v>
      </x:c>
      <x:c r="C9" s="22" t="str">
        <x:v>WeldShop</x:v>
      </x:c>
      <x:c r="D9" s="22" t="str">
        <x:v>standalone automotive panel-pick vacuum end-effector</x:v>
      </x:c>
      <x:c r="E9" s="22" t="str">
        <x:v>SourceAssets/Candidate/WeldShop/VacuumPanelPickEOAT_Intake_v001/Authority/GenerateTextureBranch/Meshy_AI_Industrial_Vacuum_Lif_0812065509_texture.blend</x:v>
      </x:c>
      <x:c r="F9" s="25" t="n">
        <x:v>3</x:v>
      </x:c>
      <x:c r="G9" s="22" t="str">
        <x:v>V001</x:v>
      </x:c>
      <x:c r="H9" s="22" t="str">
        <x:v>REFERENCE_ONLY_RUNTIME_BLOCKED</x:v>
      </x:c>
      <x:c r="I9" s="22" t="str"/>
      <x:c r="J9" s="22" t="str"/>
      <x:c r="K9" s="22" t="str">
        <x:v>CONCEPT_PASS_EXACT_BLOCKED</x:v>
      </x:c>
      <x:c r="L9" s="22" t="str">
        <x:v>NOT_IMPORTED</x:v>
      </x:c>
      <x:c r="M9" s="22" t="str"/>
      <x:c r="N9" s="22" t="str"/>
      <x:c r="O9" s="22" t="str">
        <x:v>Rebuild from six visible cups to the specified eight, with flange root, arm pivots, contact sockets, collision and LODs.</x:v>
      </x:c>
      <x:c r="P9" s="22" t="str">
        <x:v>Supplied today by the project owner; reconciled into SourceAssets</x:v>
      </x:c>
      <x:c r="Q9" s="22" t="str">
        <x:v>Private Meshy/Blender source per project statement</x:v>
      </x:c>
      <x:c r="R9" s="30" t="n">
        <x:v>46246</x:v>
      </x:c>
      <x:c r="S9" s="22" t="str">
        <x:v>Meshy Industrial Vacuum Lifter 08120654-55</x:v>
      </x:c>
      <x:c r="T9" s="22" t="str">
        <x:v>Yes</x:v>
      </x:c>
      <x:c r="U9" s="33" t="n">
        <x:f>IF($T9="Yes",COUNTIF($T$6:T9,"Yes"),"")</x:f>
        <x:v>1</x:v>
      </x:c>
    </x:row>
    <x:row r="10">
      <x:c r="A10" s="22" t="str">
        <x:v>LB_PANEL_STILLAGE_THREE_HIGH_INTAKE_V001</x:v>
      </x:c>
      <x:c r="B10" s="22" t="str">
        <x:v>Same-design empty/full three-high panel stillage</x:v>
      </x:c>
      <x:c r="C10" s="22" t="str">
        <x:v>WeldShop/Logistics</x:v>
      </x:c>
      <x:c r="D10" s="22" t="str">
        <x:v>stackable panel stillage</x:v>
      </x:c>
      <x:c r="E10" s="22" t="str">
        <x:v>SourceAssets/Candidate/WeldShop/PanelStillage_ThreeHigh_Intake_v001/Authority/GenerateTextureBranch/Meshy_AI_Industrial_Adjustable_0812070022_texture.blend</x:v>
      </x:c>
      <x:c r="F10" s="25" t="n">
        <x:v>3</x:v>
      </x:c>
      <x:c r="G10" s="22" t="str">
        <x:v>V001</x:v>
      </x:c>
      <x:c r="H10" s="22" t="str">
        <x:v>REFERENCE_ONLY_RUNTIME_BLOCKED</x:v>
      </x:c>
      <x:c r="I10" s="22" t="str"/>
      <x:c r="J10" s="22" t="str"/>
      <x:c r="K10" s="22" t="str">
        <x:v>PASS</x:v>
      </x:c>
      <x:c r="L10" s="22" t="str">
        <x:v>NOT_IMPORTED</x:v>
      </x:c>
      <x:c r="M10" s="22" t="str"/>
      <x:c r="N10" s="22" t="str"/>
      <x:c r="O10" s="22" t="str">
        <x:v>Author one semantic stillage asset with payload state plus four top/bottom stack locators and validate three-high loaded physics.</x:v>
      </x:c>
      <x:c r="P10" s="22" t="str">
        <x:v>Supplied today by the project owner; reconciled into SourceAssets</x:v>
      </x:c>
      <x:c r="Q10" s="22" t="str">
        <x:v>Private Meshy/Blender source per project statement</x:v>
      </x:c>
      <x:c r="R10" s="30" t="n">
        <x:v>46246</x:v>
      </x:c>
      <x:c r="S10" s="22" t="str">
        <x:v>Meshy Industrial Adjustable 08120658-08120700</x:v>
      </x:c>
      <x:c r="T10" s="22" t="str">
        <x:v>No</x:v>
      </x:c>
      <x:c r="U10" s="33" t="str">
        <x:f>IF($T10="Yes",COUNTIF($T$6:T10,"Yes"),"")</x:f>
      </x:c>
    </x:row>
    <x:row r="11">
      <x:c r="A11" s="22" t="str">
        <x:v>LB_SPOT_C_GUN_INTAKE_V002</x:v>
      </x:c>
      <x:c r="B11" s="22" t="str">
        <x:v>Standalone resistance spot-weld C-gun</x:v>
      </x:c>
      <x:c r="C11" s="22" t="str">
        <x:v>WeldShop</x:v>
      </x:c>
      <x:c r="D11" s="22" t="str">
        <x:v>standalone spot-weld C-gun tool</x:v>
      </x:c>
      <x:c r="E11" s="22" t="str">
        <x:v>SourceAssets/Candidate/WeldShop/SpotRobot_v002/Authorities/TexturedBranch/Meshy_AI_Industrial_Spot_Weldi_0812070409_texture.blend</x:v>
      </x:c>
      <x:c r="F11" s="25" t="n">
        <x:v>2</x:v>
      </x:c>
      <x:c r="G11" s="22" t="str">
        <x:v>V002</x:v>
      </x:c>
      <x:c r="H11" s="22" t="str">
        <x:v>REFERENCE_ONLY_RUNTIME_BLOCKED</x:v>
      </x:c>
      <x:c r="I11" s="22" t="str"/>
      <x:c r="J11" s="22" t="str"/>
      <x:c r="K11" s="22" t="str">
        <x:v>PASS</x:v>
      </x:c>
      <x:c r="L11" s="22" t="str">
        <x:v>NOT_IMPORTED</x:v>
      </x:c>
      <x:c r="M11" s="22" t="str"/>
      <x:c r="N11" s="22" t="str"/>
      <x:c r="O11" s="22" t="str">
        <x:v>Build optimized replaceable C-gun with flange/electrode sockets and servo slide; retain current tested v001 tool until clearance gate passes.</x:v>
      </x:c>
      <x:c r="P11" s="22" t="str">
        <x:v>Supplied today by the project owner; reconciled into SourceAssets</x:v>
      </x:c>
      <x:c r="Q11" s="22" t="str">
        <x:v>Private Meshy/Blender source per project statement</x:v>
      </x:c>
      <x:c r="R11" s="30" t="n">
        <x:v>46246</x:v>
      </x:c>
      <x:c r="S11" s="22" t="str">
        <x:v>Meshy Industrial Spot Welding 08120703-04</x:v>
      </x:c>
      <x:c r="T11" s="22" t="str">
        <x:v>No</x:v>
      </x:c>
      <x:c r="U11" s="33" t="str">
        <x:f>IF($T11="Yes",COUNTIF($T$6:T11,"Yes"),"")</x:f>
      </x:c>
    </x:row>
    <x:row r="12">
      <x:c r="A12" s="22" t="str">
        <x:v>LB_BODY_WELD_FRAMING_FIXTURE_INTAKE_V001</x:v>
      </x:c>
      <x:c r="B12" s="22" t="str">
        <x:v>Cairnwell 2040 body-weld framing fixture</x:v>
      </x:c>
      <x:c r="C12" s="22" t="str">
        <x:v>WeldShop</x:v>
      </x:c>
      <x:c r="D12" s="22" t="str">
        <x:v>empty BIW framing and geometry welding fixture</x:v>
      </x:c>
      <x:c r="E12" s="22" t="str">
        <x:v>SourceAssets/Candidate/WeldShop/BodyWeldFramingFixture_Intake_v001/Authority/GenerateTextureBranch/Meshy_AI_Precision_Assembly_Fr_0812072950_texture.blend</x:v>
      </x:c>
      <x:c r="F12" s="25" t="n">
        <x:v>3</x:v>
      </x:c>
      <x:c r="G12" s="22" t="str">
        <x:v>V001</x:v>
      </x:c>
      <x:c r="H12" s="22" t="str">
        <x:v>REFERENCE_ONLY_RUNTIME_BLOCKED</x:v>
      </x:c>
      <x:c r="I12" s="22" t="str"/>
      <x:c r="J12" s="22" t="str"/>
      <x:c r="K12" s="22" t="str">
        <x:v>PASS</x:v>
      </x:c>
      <x:c r="L12" s="22" t="str">
        <x:v>NOT_IMPORTED</x:v>
      </x:c>
      <x:c r="M12" s="22" t="str"/>
      <x:c r="N12" s="22" t="str"/>
      <x:c r="O12" s="22" t="str">
        <x:v>Modular optimized rebuild with approved scale, towers/clamps/slides/pivots, collision and placement envelope.</x:v>
      </x:c>
      <x:c r="P12" s="22" t="str">
        <x:v>Supplied today by the project owner; reconciled into SourceAssets</x:v>
      </x:c>
      <x:c r="Q12" s="22" t="str">
        <x:v>Private Meshy/Blender source per project statement</x:v>
      </x:c>
      <x:c r="R12" s="30" t="n">
        <x:v>46246</x:v>
      </x:c>
      <x:c r="S12" s="22" t="str">
        <x:v>Meshy Precision Assembly Frame 08120727-29</x:v>
      </x:c>
      <x:c r="T12" s="22" t="str">
        <x:v>Yes</x:v>
      </x:c>
      <x:c r="U12" s="33" t="n">
        <x:f>IF($T12="Yes",COUNTIF($T$6:T12,"Yes"),"")</x:f>
        <x:v>2</x:v>
      </x:c>
    </x:row>
    <x:row r="13">
      <x:c r="A13" s="22" t="str">
        <x:v>LB_BODY_WELD_MESHY_TEXT_PREVIEW_V001</x:v>
      </x:c>
      <x:c r="B13" s="22" t="str">
        <x:v>Rejected Meshy body-weld text preview</x:v>
      </x:c>
      <x:c r="C13" s="22" t="str">
        <x:v>WeldShop</x:v>
      </x:c>
      <x:c r="D13" s="22" t="str">
        <x:v>negative provenance only</x:v>
      </x:c>
      <x:c r="E13" s="22" t="str"/>
      <x:c r="F13" s="25" t="n">
        <x:v>0</x:v>
      </x:c>
      <x:c r="G13" s="22" t="str">
        <x:v>V001</x:v>
      </x:c>
      <x:c r="H13" s="22" t="str">
        <x:v>REJECTED_DO_NOT_USE</x:v>
      </x:c>
      <x:c r="I13" s="22" t="str"/>
      <x:c r="J13" s="22" t="str"/>
      <x:c r="K13" s="22" t="str">
        <x:v>REJECTED</x:v>
      </x:c>
      <x:c r="L13" s="22" t="str">
        <x:v>PROHIBITED</x:v>
      </x:c>
      <x:c r="M13" s="22" t="str"/>
      <x:c r="N13" s="22" t="str"/>
      <x:c r="O13" s="22" t="str">
        <x:v>Do not refine or import; it fused a finished car into a gantry and is superseded by the user-supplied Precision Assembly Frame family.</x:v>
      </x:c>
      <x:c r="P13" s="22" t="str">
        <x:v>Existing curated project authority</x:v>
      </x:c>
      <x:c r="Q13" s="22" t="str">
        <x:v>See project provenance authority</x:v>
      </x:c>
      <x:c r="R13" s="30" t="n">
        <x:v>46246</x:v>
      </x:c>
      <x:c r="S13" s="22" t="str">
        <x:v>Meshy API text preview 019ff5a0-b0b0-70bc-9ef0-86ab1b04fd38</x:v>
      </x:c>
      <x:c r="T13" s="22" t="str">
        <x:v>Yes</x:v>
      </x:c>
      <x:c r="U13" s="33" t="n">
        <x:f>IF($T13="Yes",COUNTIF($T$6:T13,"Yes"),"")</x:f>
        <x:v>3</x:v>
      </x:c>
    </x:row>
    <x:row r="14">
      <x:c r="A14" s="22" t="str">
        <x:v>LB_WELD_ROBOT_RUNTIME_V001</x:v>
      </x:c>
      <x:c r="B14" s="22" t="str">
        <x:v>Shared articulated weld robot and MIG/spot/panel-pick tools</x:v>
      </x:c>
      <x:c r="C14" s="22" t="str">
        <x:v>WeldShop</x:v>
      </x:c>
      <x:c r="D14" s="22" t="str">
        <x:v>runtime-oriented shared robot platform</x:v>
      </x:c>
      <x:c r="E14" s="22" t="str">
        <x:v>SourceAssets/Candidate/WeldShop/WeldRobotRuntime_v001/Working/LB_WeldRobotRuntime_v001.blend</x:v>
      </x:c>
      <x:c r="F14" s="25" t="n">
        <x:v>0</x:v>
      </x:c>
      <x:c r="G14" s="22" t="str">
        <x:v>V001</x:v>
      </x:c>
      <x:c r="H14" s="22" t="str">
        <x:v>RUNTIME_CANDIDATE_NOT_IMPORTED</x:v>
      </x:c>
      <x:c r="I14" s="22" t="str"/>
      <x:c r="J14" s="22" t="str"/>
      <x:c r="K14" s="22" t="str">
        <x:v>PASS</x:v>
      </x:c>
      <x:c r="L14" s="22" t="str">
        <x:v>ROUND_TRIP_TESTED_NOT_UNREAL_APPROVED</x:v>
      </x:c>
      <x:c r="M14" s="22" t="str"/>
      <x:c r="N14" s="22" t="str"/>
      <x:c r="O14" s="22" t="str">
        <x:v>Import and validate in Unreal; later replace procedural panel-pick/C-gun heads only after new optimized tools pass.</x:v>
      </x:c>
      <x:c r="P14" s="22" t="str">
        <x:v>Existing curated project authority</x:v>
      </x:c>
      <x:c r="Q14" s="22" t="str">
        <x:v>See project provenance authority</x:v>
      </x:c>
      <x:c r="R14" s="30" t="n">
        <x:v>46246</x:v>
      </x:c>
      <x:c r="S14" s="22" t="str">
        <x:v>MIGRobot_v001 + SpotRobot_v001 controlled rebuild</x:v>
      </x:c>
      <x:c r="T14" s="22" t="str">
        <x:v>No</x:v>
      </x:c>
      <x:c r="U14" s="33" t="str">
        <x:f>IF($T14="Yes",COUNTIF($T$6:T14,"Yes"),"")</x:f>
      </x:c>
    </x:row>
    <x:row r="15">
      <x:c r="A15" s="22" t="str">
        <x:v>LB_POWERED_CONVEYOR_V001</x:v>
      </x:c>
      <x:c r="B15" s="22" t="str">
        <x:v>Modular powered roller and belt conveyor kit</x:v>
      </x:c>
      <x:c r="C15" s="22" t="str">
        <x:v>FactoryLogistics</x:v>
      </x:c>
      <x:c r="D15" s="22" t="str">
        <x:v>modular powered conveyor</x:v>
      </x:c>
      <x:c r="E15" s="22" t="str">
        <x:v>SourceAssets/Candidate/FactoryLogistics/PoweredConveyor_v001/Working/LB_PoweredConveyor_ModularKit_v001.blend</x:v>
      </x:c>
      <x:c r="F15" s="25" t="n">
        <x:v>0</x:v>
      </x:c>
      <x:c r="G15" s="22" t="str">
        <x:v>V001</x:v>
      </x:c>
      <x:c r="H15" s="22" t="str">
        <x:v>RUNTIME_CANDIDATE_NOT_IMPORTED</x:v>
      </x:c>
      <x:c r="I15" s="22" t="str"/>
      <x:c r="J15" s="22" t="str"/>
      <x:c r="K15" s="22" t="str">
        <x:v>PASS</x:v>
      </x:c>
      <x:c r="L15" s="22" t="str">
        <x:v>NOT_IMPORTED_ROOT_CLEARANCE_REQUIRED</x:v>
      </x:c>
      <x:c r="M15" s="22" t="str"/>
      <x:c r="N15" s="22" t="str"/>
      <x:c r="O15" s="22" t="str">
        <x:v>Root-clearance and Unreal import/animation validation.</x:v>
      </x:c>
      <x:c r="P15" s="22" t="str">
        <x:v>Existing curated project authority</x:v>
      </x:c>
      <x:c r="Q15" s="22" t="str">
        <x:v>See project provenance authority</x:v>
      </x:c>
      <x:c r="R15" s="30" t="n">
        <x:v>46246</x:v>
      </x:c>
      <x:c r="S15" s="22" t="str">
        <x:v>PoweredConveyor_v001</x:v>
      </x:c>
      <x:c r="T15" s="22" t="str">
        <x:v>No</x:v>
      </x:c>
      <x:c r="U15" s="33" t="str">
        <x:f>IF($T15="Yes",COUNTIF($T$6:T15,"Yes"),"")</x:f>
      </x:c>
    </x:row>
    <x:row r="16">
      <x:c r="A16" s="22" t="str">
        <x:v>LB_COMPACT_FORKLIFT_AGV_V003</x:v>
      </x:c>
      <x:c r="B16" s="22" t="str">
        <x:v>Compact FLT AGV</x:v>
      </x:c>
      <x:c r="C16" s="22" t="str">
        <x:v>Logistics</x:v>
      </x:c>
      <x:c r="D16" s="22" t="str">
        <x:v>forklift AGV with modular mast</x:v>
      </x:c>
      <x:c r="E16" s="22" t="str">
        <x:v>SourceAssets/Candidate/Logistics/CompactForkliftAGV/Working/CFAGV_ModularMast_v003.blend</x:v>
      </x:c>
      <x:c r="F16" s="25" t="n">
        <x:v>0</x:v>
      </x:c>
      <x:c r="G16" s="22" t="str">
        <x:v>V003</x:v>
      </x:c>
      <x:c r="H16" s="22" t="str">
        <x:v>RUNTIME_CANDIDATE_NOT_IMPORTED</x:v>
      </x:c>
      <x:c r="I16" s="22" t="str"/>
      <x:c r="J16" s="22" t="str"/>
      <x:c r="K16" s="22" t="str">
        <x:v>PASS</x:v>
      </x:c>
      <x:c r="L16" s="22" t="str">
        <x:v>SOURCE_VALIDATED_UNREAL_UNVERIFIED</x:v>
      </x:c>
      <x:c r="M16" s="22" t="str"/>
      <x:c r="N16" s="22" t="str"/>
      <x:c r="O16" s="22" t="str">
        <x:v>Unreal import and rear-wheel-steering/mast/fork gameplay validation.</x:v>
      </x:c>
      <x:c r="P16" s="22" t="str">
        <x:v>Existing curated project authority</x:v>
      </x:c>
      <x:c r="Q16" s="22" t="str">
        <x:v>See project provenance authority</x:v>
      </x:c>
      <x:c r="R16" s="30" t="n">
        <x:v>46246</x:v>
      </x:c>
      <x:c r="S16" s="22" t="str">
        <x:v>CompactForkliftAGV</x:v>
      </x:c>
      <x:c r="T16" s="22" t="str">
        <x:v>No</x:v>
      </x:c>
      <x:c r="U16" s="33" t="str">
        <x:f>IF($T16="Yes",COUNTIF($T$6:T16,"Yes"),"")</x:f>
      </x:c>
    </x:row>
    <x:row r="17">
      <x:c r="A17" s="22" t="str">
        <x:v>LB_FINISHED_PANEL_STILLAGE_V004</x:v>
      </x:c>
      <x:c r="B17" s="22" t="str">
        <x:v>Press-shop finished-panel stillage runtime candidate</x:v>
      </x:c>
      <x:c r="C17" s="22" t="str">
        <x:v>PressShop/Logistics</x:v>
      </x:c>
      <x:c r="D17" s="22" t="str">
        <x:v>modular finished-panel stillage</x:v>
      </x:c>
      <x:c r="E17" s="22" t="str">
        <x:v>SourceAssets/Candidate/PressShop/FinishedPanelStillage/Working/FP_STILLAGE_ModularGuides_v004.blend</x:v>
      </x:c>
      <x:c r="F17" s="25" t="n">
        <x:v>0</x:v>
      </x:c>
      <x:c r="G17" s="22" t="str">
        <x:v>V004</x:v>
      </x:c>
      <x:c r="H17" s="22" t="str">
        <x:v>RUNTIME_CANDIDATE_NOT_IMPORTED</x:v>
      </x:c>
      <x:c r="I17" s="22" t="str"/>
      <x:c r="J17" s="22" t="str"/>
      <x:c r="K17" s="22" t="str">
        <x:v>PASS</x:v>
      </x:c>
      <x:c r="L17" s="22" t="str">
        <x:v>PREFLIGHTED_UNREAL_UNVERIFIED</x:v>
      </x:c>
      <x:c r="M17" s="22" t="str"/>
      <x:c r="N17" s="22" t="str"/>
      <x:c r="O17" s="22" t="str">
        <x:v>Reconcile with new three-high same-empty/full stillage authority and validate stacking/payload state.</x:v>
      </x:c>
      <x:c r="P17" s="22" t="str">
        <x:v>Existing curated project authority</x:v>
      </x:c>
      <x:c r="Q17" s="22" t="str">
        <x:v>See project provenance authority</x:v>
      </x:c>
      <x:c r="R17" s="30" t="n">
        <x:v>46246</x:v>
      </x:c>
      <x:c r="S17" s="22" t="str">
        <x:v>FinishedPanelStillage</x:v>
      </x:c>
      <x:c r="T17" s="22" t="str">
        <x:v>No</x:v>
      </x:c>
      <x:c r="U17" s="33" t="str">
        <x:f>IF($T17="Yes",COUNTIF($T$6:T17,"Yes"),"")</x:f>
      </x:c>
    </x:row>
    <x:row r="18">
      <x:c r="A18" s="22" t="str">
        <x:v>LB_COIL_AGV_CANDIDATE_V001</x:v>
      </x:c>
      <x:c r="B18" s="22" t="str">
        <x:v>Coil-handling AGV</x:v>
      </x:c>
      <x:c r="C18" s="22" t="str">
        <x:v>PressShop/MaterialHandling</x:v>
      </x:c>
      <x:c r="D18" s="22" t="str">
        <x:v>coil AGV chassis and lift deck</x:v>
      </x:c>
      <x:c r="E18" s="22" t="str">
        <x:v>SourceAssets/IndustrialKit/MaterialHandling/CoilAGV/Candidate_v001/LB_CoilAGV_Candidate_v001.blend</x:v>
      </x:c>
      <x:c r="F18" s="25" t="n">
        <x:v>0</x:v>
      </x:c>
      <x:c r="G18" s="22" t="str">
        <x:v>V001</x:v>
      </x:c>
      <x:c r="H18" s="22" t="str">
        <x:v>UNREAL_IMPORTED_CANDIDATE</x:v>
      </x:c>
      <x:c r="I18" s="22" t="str"/>
      <x:c r="J18" s="22" t="str"/>
      <x:c r="K18" s="22" t="str">
        <x:v>PASS</x:v>
      </x:c>
      <x:c r="L18" s="22" t="str">
        <x:v>CONTENT_PRESENT_CANDIDATE</x:v>
      </x:c>
      <x:c r="M18" s="22" t="str">
        <x:v>Content/LineBoss/IndustrialKit/MaterialHandling/CoilAGV/Candidate_v001</x:v>
      </x:c>
      <x:c r="N18" s="22" t="str"/>
      <x:c r="O18" s="22" t="str">
        <x:v>Retain rear-wheel-steering gameplay contract and complete packaged visual/handling validation.</x:v>
      </x:c>
      <x:c r="P18" s="22" t="str">
        <x:v>Existing curated project authority</x:v>
      </x:c>
      <x:c r="Q18" s="22" t="str">
        <x:v>See project provenance authority</x:v>
      </x:c>
      <x:c r="R18" s="30" t="n">
        <x:v>46246</x:v>
      </x:c>
      <x:c r="S18" s="22" t="str">
        <x:v>IndustrialKit CoilAGV Candidate_v001</x:v>
      </x:c>
      <x:c r="T18" s="22" t="str">
        <x:v>No</x:v>
      </x:c>
      <x:c r="U18" s="33" t="str">
        <x:f>IF($T18="Yes",COUNTIF($T$6:T18,"Yes"),"")</x:f>
      </x:c>
    </x:row>
    <x:row r="19">
      <x:c r="A19" s="22" t="str">
        <x:v>LB_CR01_CLEANING_AMR</x:v>
      </x:c>
      <x:c r="B19" s="22" t="str">
        <x:v>CR01 cleaning AMR</x:v>
      </x:c>
      <x:c r="C19" s="22" t="str">
        <x:v>SupportRobots</x:v>
      </x:c>
      <x:c r="D19" s="22" t="str">
        <x:v>autonomous factory cleaning robot</x:v>
      </x:c>
      <x:c r="E19" s="22" t="str">
        <x:v>SourceAssets/Robots/LB_CR01_CleaningAMR/Blender/Candidate_v059/LB_CR01_ScrubberSilhouetteCandidate_v059.blend</x:v>
      </x:c>
      <x:c r="F19" s="25" t="n">
        <x:v>0</x:v>
      </x:c>
      <x:c r="G19" s="22" t="str"/>
      <x:c r="H19" s="22" t="str">
        <x:v>UNREAL_IMPORTED_CANDIDATE</x:v>
      </x:c>
      <x:c r="I19" s="22" t="str"/>
      <x:c r="J19" s="22" t="str"/>
      <x:c r="K19" s="22" t="str">
        <x:v>PASS</x:v>
      </x:c>
      <x:c r="L19" s="22" t="str">
        <x:v>MULTIPLE_CANDIDATES_CONTENT_PRESENT</x:v>
      </x:c>
      <x:c r="M19" s="22" t="str">
        <x:v>Content/LineBoss/Shared/SupportRobots/LB_CR01</x:v>
      </x:c>
      <x:c r="N19" s="22" t="str"/>
      <x:c r="O19" s="22" t="str">
        <x:v>Promote one explicit release authority and finish brighter full-body repaint/lighting validation.</x:v>
      </x:c>
      <x:c r="P19" s="22" t="str">
        <x:v>Existing curated project authority</x:v>
      </x:c>
      <x:c r="Q19" s="22" t="str">
        <x:v>See project provenance authority</x:v>
      </x:c>
      <x:c r="R19" s="30" t="n">
        <x:v>46246</x:v>
      </x:c>
      <x:c r="S19" s="22" t="str">
        <x:v>LB_CR01_CleaningAMR</x:v>
      </x:c>
      <x:c r="T19" s="22" t="str">
        <x:v>No</x:v>
      </x:c>
      <x:c r="U19" s="33" t="str">
        <x:f>IF($T19="Yes",COUNTIF($T$6:T19,"Yes"),"")</x:f>
      </x:c>
    </x:row>
    <x:row r="20">
      <x:c r="A20" s="22" t="str">
        <x:v>LB_MR01_MAINTENANCE_ROBOT</x:v>
      </x:c>
      <x:c r="B20" s="22" t="str">
        <x:v>MR01 maintenance robot</x:v>
      </x:c>
      <x:c r="C20" s="22" t="str">
        <x:v>SupportRobots</x:v>
      </x:c>
      <x:c r="D20" s="22" t="str">
        <x:v>mobile autonomous maintenance robot</x:v>
      </x:c>
      <x:c r="E20" s="22" t="str">
        <x:v>SourceAssets/Robots/LB_MR01_MaintenanceRobot/Blender/Candidate_v022/LB_MR01_DockFitCandidate_v022.blend</x:v>
      </x:c>
      <x:c r="F20" s="25" t="n">
        <x:v>0</x:v>
      </x:c>
      <x:c r="G20" s="22" t="str"/>
      <x:c r="H20" s="22" t="str">
        <x:v>UNREAL_IMPORTED_CANDIDATE</x:v>
      </x:c>
      <x:c r="I20" s="22" t="str"/>
      <x:c r="J20" s="22" t="str"/>
      <x:c r="K20" s="22" t="str">
        <x:v>PASS</x:v>
      </x:c>
      <x:c r="L20" s="22" t="str">
        <x:v>CANDIDATE_V022_CONTENT_PRESENT</x:v>
      </x:c>
      <x:c r="M20" s="22" t="str">
        <x:v>Content/LineBoss/Robots/Maintenance/MR01/Candidate_v022</x:v>
      </x:c>
      <x:c r="N20" s="22" t="str"/>
      <x:c r="O20" s="22" t="str">
        <x:v>Promote one release authority and finish orange-helmet/brighter full-body treatment validation.</x:v>
      </x:c>
      <x:c r="P20" s="22" t="str">
        <x:v>Existing curated project authority</x:v>
      </x:c>
      <x:c r="Q20" s="22" t="str">
        <x:v>See project provenance authority</x:v>
      </x:c>
      <x:c r="R20" s="30" t="n">
        <x:v>46246</x:v>
      </x:c>
      <x:c r="S20" s="22" t="str">
        <x:v>LB_MR01_MaintenanceRobot</x:v>
      </x:c>
      <x:c r="T20" s="22" t="str">
        <x:v>No</x:v>
      </x:c>
      <x:c r="U20" s="33" t="str">
        <x:f>IF($T20="Yes",COUNTIF($T$6:T20,"Yes"),"")</x:f>
      </x:c>
    </x:row>
    <x:row r="21">
      <x:c r="A21" s="22" t="str">
        <x:v>LB_ED_LINE_RUNTIME_V001_V002</x:v>
      </x:c>
      <x:c r="B21" s="22" t="str">
        <x:v>ED treatment and curing line</x:v>
      </x:c>
      <x:c r="C21" s="22" t="str">
        <x:v>PaintShop</x:v>
      </x:c>
      <x:c r="D21" s="22" t="str">
        <x:v>modular e-coat treatment and curing line</x:v>
      </x:c>
      <x:c r="E21" s="22" t="str">
        <x:v>SourceAssets/Candidate/PaintShop/EDLineRuntime_Candidate_v001</x:v>
      </x:c>
      <x:c r="F21" s="25" t="n">
        <x:v>0</x:v>
      </x:c>
      <x:c r="G21" s="22" t="str">
        <x:v>V002</x:v>
      </x:c>
      <x:c r="H21" s="22" t="str">
        <x:v>UNREAL_IMPORTED_CANDIDATE</x:v>
      </x:c>
      <x:c r="I21" s="22" t="str"/>
      <x:c r="J21" s="22" t="str"/>
      <x:c r="K21" s="22" t="str">
        <x:v>PASS</x:v>
      </x:c>
      <x:c r="L21" s="22" t="str">
        <x:v>RUNTIME_V001_AND_V002_CONTENT_PRESENT</x:v>
      </x:c>
      <x:c r="M21" s="22" t="str">
        <x:v>Content/LineBoss/Candidates/PaintShop/EDLine/Runtime_v001; Content/LineBoss/Candidates/PaintShop/EDLine/Runtime_v002</x:v>
      </x:c>
      <x:c r="N21" s="22" t="str"/>
      <x:c r="O21" s="22" t="str">
        <x:v>Resolve v001/v002 promotion authority and packaged process-flow validation.</x:v>
      </x:c>
      <x:c r="P21" s="22" t="str">
        <x:v>Existing curated project authority</x:v>
      </x:c>
      <x:c r="Q21" s="22" t="str">
        <x:v>See project provenance authority</x:v>
      </x:c>
      <x:c r="R21" s="30" t="n">
        <x:v>46246</x:v>
      </x:c>
      <x:c r="S21" s="22" t="str">
        <x:v>EDLineRuntime_Candidate_v001</x:v>
      </x:c>
      <x:c r="T21" s="22" t="str">
        <x:v>No</x:v>
      </x:c>
      <x:c r="U21" s="33" t="str">
        <x:f>IF($T21="Yes",COUNTIF($T$6:T21,"Yes"),"")</x:f>
      </x:c>
    </x:row>
    <x:row r="22">
      <x:c r="A22" s="22" t="str">
        <x:v>LB_PRESS_TRAIN_A_COMPLETE_V660</x:v>
      </x:c>
      <x:c r="B22" s="22" t="str">
        <x:v>Complete Press Train A source assembly</x:v>
      </x:c>
      <x:c r="C22" s="22" t="str">
        <x:v>PressShop/PressTrains</x:v>
      </x:c>
      <x:c r="D22" s="22" t="str">
        <x:v>complete staged press train source assembly</x:v>
      </x:c>
      <x:c r="E22" s="22" t="str">
        <x:v>SourceAssets/Candidate/PressTrains/TrainA/CompleteTrainAAssembly_v660/CA_MW_PressTrainA_CompleteAssembly_v660.blend</x:v>
      </x:c>
      <x:c r="F22" s="25" t="n">
        <x:v>0</x:v>
      </x:c>
      <x:c r="G22" s="22" t="str">
        <x:v>V660</x:v>
      </x:c>
      <x:c r="H22" s="22" t="str">
        <x:v>CURATED_SOURCE_AUTHORITY</x:v>
      </x:c>
      <x:c r="I22" s="22" t="str"/>
      <x:c r="J22" s="22" t="str"/>
      <x:c r="K22" s="22" t="str">
        <x:v>PASS</x:v>
      </x:c>
      <x:c r="L22" s="22" t="str">
        <x:v>DEVELOPER_VALIDATION_CONTENT_PRESENT</x:v>
      </x:c>
      <x:c r="M22" s="22" t="str">
        <x:v>Content/LineBoss/Developer/Validation/PressTrains/CompleteTrainA_v662</x:v>
      </x:c>
      <x:c r="N22" s="22" t="str"/>
      <x:c r="O22" s="22" t="str">
        <x:v>Keep manifest as source authority; runtime build authority is governed separately by gameplay/placement systems.</x:v>
      </x:c>
      <x:c r="P22" s="22" t="str">
        <x:v>Existing curated project authority</x:v>
      </x:c>
      <x:c r="Q22" s="22" t="str">
        <x:v>See project provenance authority</x:v>
      </x:c>
      <x:c r="R22" s="30" t="n">
        <x:v>46246</x:v>
      </x:c>
      <x:c r="S22" s="22" t="str">
        <x:v>CompleteTrainAAssembly_v660</x:v>
      </x:c>
      <x:c r="T22" s="22" t="str">
        <x:v>No</x:v>
      </x:c>
      <x:c r="U22" s="33" t="str">
        <x:f>IF($T22="Yes",COUNTIF($T$6:T22,"Yes"),"")</x:f>
      </x:c>
    </x:row>
    <x:row r="23">
      <x:c r="A23" s="22" t="str">
        <x:v>LB_PR004_ROBOTIC_DEPACK</x:v>
      </x:c>
      <x:c r="B23" s="22" t="str">
        <x:v>PR004 robotic depack robot</x:v>
      </x:c>
      <x:c r="C23" s="22" t="str">
        <x:v>PressShop</x:v>
      </x:c>
      <x:c r="D23" s="22" t="str">
        <x:v>coil wrap depack robot and tools</x:v>
      </x:c>
      <x:c r="E23" s="22" t="str">
        <x:v>SourceAssets/PR004/RoboticDepackRobot</x:v>
      </x:c>
      <x:c r="F23" s="25" t="n">
        <x:v>0</x:v>
      </x:c>
      <x:c r="G23" s="22" t="str"/>
      <x:c r="H23" s="22" t="str">
        <x:v>CURATED_SOURCE_AUTHORITY</x:v>
      </x:c>
      <x:c r="I23" s="22" t="str"/>
      <x:c r="J23" s="22" t="str"/>
      <x:c r="K23" s="22" t="str">
        <x:v>PASS</x:v>
      </x:c>
      <x:c r="L23" s="22" t="str">
        <x:v>SOURCE_AUTHORITY</x:v>
      </x:c>
      <x:c r="M23" s="22" t="str"/>
      <x:c r="N23" s="22" t="str"/>
      <x:c r="O23" s="22" t="str">
        <x:v>Track against current Press Shop runtime implementation.</x:v>
      </x:c>
      <x:c r="P23" s="22" t="str">
        <x:v>Existing curated project authority</x:v>
      </x:c>
      <x:c r="Q23" s="22" t="str">
        <x:v>See project provenance authority</x:v>
      </x:c>
      <x:c r="R23" s="30" t="n">
        <x:v>46246</x:v>
      </x:c>
      <x:c r="S23" s="22" t="str">
        <x:v>PR004 RoboticDepackRobot</x:v>
      </x:c>
      <x:c r="T23" s="22" t="str">
        <x:v>No</x:v>
      </x:c>
      <x:c r="U23" s="33" t="str">
        <x:f>IF($T23="Yes",COUNTIF($T$6:T23,"Yes"),"")</x:f>
      </x:c>
    </x:row>
    <x:row r="24">
      <x:c r="A24" s="22" t="str">
        <x:v>LB_PR005_PAYOFF_COIL</x:v>
      </x:c>
      <x:c r="B24" s="22" t="str">
        <x:v>PR005 payoff/decoiler subsystem</x:v>
      </x:c>
      <x:c r="C24" s="22" t="str">
        <x:v>PressShop</x:v>
      </x:c>
      <x:c r="D24" s="22" t="str">
        <x:v>coil payoff/decoiling machine modules</x:v>
      </x:c>
      <x:c r="E24" s="22" t="str">
        <x:v>SourceAssets/PR005/PayoffCoil</x:v>
      </x:c>
      <x:c r="F24" s="25" t="n">
        <x:v>0</x:v>
      </x:c>
      <x:c r="G24" s="22" t="str"/>
      <x:c r="H24" s="22" t="str">
        <x:v>CURATED_SOURCE_AUTHORITY</x:v>
      </x:c>
      <x:c r="I24" s="22" t="str"/>
      <x:c r="J24" s="22" t="str"/>
      <x:c r="K24" s="22" t="str">
        <x:v>PASS</x:v>
      </x:c>
      <x:c r="L24" s="22" t="str">
        <x:v>SOURCE_AUTHORITY</x:v>
      </x:c>
      <x:c r="M24" s="22" t="str"/>
      <x:c r="N24" s="22" t="str"/>
      <x:c r="O24" s="22" t="str">
        <x:v>Keep related Headstock/Mandrel/PeelerThreader manifests linked through manifest index.</x:v>
      </x:c>
      <x:c r="P24" s="22" t="str">
        <x:v>Existing curated project authority</x:v>
      </x:c>
      <x:c r="Q24" s="22" t="str">
        <x:v>See project provenance authority</x:v>
      </x:c>
      <x:c r="R24" s="30" t="n">
        <x:v>46246</x:v>
      </x:c>
      <x:c r="S24" s="22" t="str">
        <x:v>PR005 PayoffCoil and related modules</x:v>
      </x:c>
      <x:c r="T24" s="22" t="str">
        <x:v>No</x:v>
      </x:c>
      <x:c r="U24" s="33" t="str">
        <x:f>IF($T24="Yes",COUNTIF($T$6:T24,"Yes"),"")</x:f>
      </x:c>
    </x:row>
    <x:row r="25">
      <x:c r="A25" s="22" t="str">
        <x:v>LB_PR006_PRECISION_LEVELLER</x:v>
      </x:c>
      <x:c r="B25" s="22" t="str">
        <x:v>PR006 precision cassette leveller</x:v>
      </x:c>
      <x:c r="C25" s="22" t="str">
        <x:v>PressShop</x:v>
      </x:c>
      <x:c r="D25" s="22" t="str">
        <x:v>precision strip levelling machine</x:v>
      </x:c>
      <x:c r="E25" s="22" t="str">
        <x:v>SourceAssets/PR006/PrecisionCassetteLeveller/Candidate_v001/PR006_PrecisionCassetteLeveller_Candidate_v001.blend</x:v>
      </x:c>
      <x:c r="F25" s="25" t="n">
        <x:v>0</x:v>
      </x:c>
      <x:c r="G25" s="22" t="str"/>
      <x:c r="H25" s="22" t="str">
        <x:v>CURATED_SOURCE_AUTHORITY</x:v>
      </x:c>
      <x:c r="I25" s="22" t="str"/>
      <x:c r="J25" s="22" t="str"/>
      <x:c r="K25" s="22" t="str">
        <x:v>PASS</x:v>
      </x:c>
      <x:c r="L25" s="22" t="str">
        <x:v>SOURCE_AUTHORITY</x:v>
      </x:c>
      <x:c r="M25" s="22" t="str"/>
      <x:c r="N25" s="22" t="str"/>
      <x:c r="O25" s="22" t="str">
        <x:v>Track release-detail overlay and runtime implementation separately.</x:v>
      </x:c>
      <x:c r="P25" s="22" t="str">
        <x:v>Existing curated project authority</x:v>
      </x:c>
      <x:c r="Q25" s="22" t="str">
        <x:v>See project provenance authority</x:v>
      </x:c>
      <x:c r="R25" s="30" t="n">
        <x:v>46246</x:v>
      </x:c>
      <x:c r="S25" s="22" t="str">
        <x:v>PrecisionCassetteLeveller Candidate_v001</x:v>
      </x:c>
      <x:c r="T25" s="22" t="str">
        <x:v>No</x:v>
      </x:c>
      <x:c r="U25" s="33" t="str">
        <x:f>IF($T25="Yes",COUNTIF($T$6:T25,"Yes"),"")</x:f>
      </x:c>
    </x:row>
    <x:row r="26">
      <x:c r="A26" s="22" t="str">
        <x:v>LB_PR007_WASHER_LUBE</x:v>
      </x:c>
      <x:c r="B26" s="22" t="str">
        <x:v>PR007 washer/lube unit</x:v>
      </x:c>
      <x:c r="C26" s="22" t="str">
        <x:v>PressShop</x:v>
      </x:c>
      <x:c r="D26" s="22" t="str">
        <x:v>strip washer and lubrication machine</x:v>
      </x:c>
      <x:c r="E26" s="22" t="str">
        <x:v>SourceAssets/PR007/WasherLubeUnit/Candidate_v001</x:v>
      </x:c>
      <x:c r="F26" s="25" t="n">
        <x:v>0</x:v>
      </x:c>
      <x:c r="G26" s="22" t="str"/>
      <x:c r="H26" s="22" t="str">
        <x:v>CURATED_SOURCE_AUTHORITY</x:v>
      </x:c>
      <x:c r="I26" s="22" t="str"/>
      <x:c r="J26" s="22" t="str"/>
      <x:c r="K26" s="22" t="str">
        <x:v>PASS</x:v>
      </x:c>
      <x:c r="L26" s="22" t="str">
        <x:v>SOURCE_AUTHORITY</x:v>
      </x:c>
      <x:c r="M26" s="22" t="str"/>
      <x:c r="N26" s="22" t="str"/>
      <x:c r="O26" s="22" t="str">
        <x:v>Track release-detail authority and runtime implementation.</x:v>
      </x:c>
      <x:c r="P26" s="22" t="str">
        <x:v>Existing curated project authority</x:v>
      </x:c>
      <x:c r="Q26" s="22" t="str">
        <x:v>See project provenance authority</x:v>
      </x:c>
      <x:c r="R26" s="30" t="n">
        <x:v>46246</x:v>
      </x:c>
      <x:c r="S26" s="22" t="str">
        <x:v>WasherLubeUnit Candidate_v001</x:v>
      </x:c>
      <x:c r="T26" s="22" t="str">
        <x:v>No</x:v>
      </x:c>
      <x:c r="U26" s="33" t="str">
        <x:f>IF($T26="Yes",COUNTIF($T$6:T26,"Yes"),"")</x:f>
      </x:c>
    </x:row>
    <x:row r="27">
      <x:c r="A27" s="22" t="str">
        <x:v>LB_PR008_SERVO_BLANKING</x:v>
      </x:c>
      <x:c r="B27" s="22" t="str">
        <x:v>PR008 servo blanking line</x:v>
      </x:c>
      <x:c r="C27" s="22" t="str">
        <x:v>PressShop</x:v>
      </x:c>
      <x:c r="D27" s="22" t="str">
        <x:v>servo feed, prepunch, shear and discharge line</x:v>
      </x:c>
      <x:c r="E27" s="22" t="str">
        <x:v>SourceAssets/PR008/ServoBlankingLine/Candidate_v001</x:v>
      </x:c>
      <x:c r="F27" s="25" t="n">
        <x:v>0</x:v>
      </x:c>
      <x:c r="G27" s="22" t="str"/>
      <x:c r="H27" s="22" t="str">
        <x:v>CURATED_SOURCE_AUTHORITY</x:v>
      </x:c>
      <x:c r="I27" s="22" t="str"/>
      <x:c r="J27" s="22" t="str"/>
      <x:c r="K27" s="22" t="str">
        <x:v>PASS</x:v>
      </x:c>
      <x:c r="L27" s="22" t="str">
        <x:v>SOURCE_AUTHORITY</x:v>
      </x:c>
      <x:c r="M27" s="22" t="str"/>
      <x:c r="N27" s="22" t="str"/>
      <x:c r="O27" s="22" t="str">
        <x:v>Keep detailed module manifests discoverable through manifest index.</x:v>
      </x:c>
      <x:c r="P27" s="22" t="str">
        <x:v>Existing curated project authority</x:v>
      </x:c>
      <x:c r="Q27" s="22" t="str">
        <x:v>See project provenance authority</x:v>
      </x:c>
      <x:c r="R27" s="30" t="n">
        <x:v>46246</x:v>
      </x:c>
      <x:c r="S27" s="22" t="str">
        <x:v>ServoBlankingLine Candidate_v001</x:v>
      </x:c>
      <x:c r="T27" s="22" t="str">
        <x:v>No</x:v>
      </x:c>
      <x:c r="U27" s="33" t="str">
        <x:f>IF($T27="Yes",COUNTIF($T$6:T27,"Yes"),"")</x:f>
      </x:c>
    </x:row>
    <x:row r="28">
      <x:c r="A28" s="22" t="str">
        <x:v>LB_PR009_AUTOMATED_BLANK_STACKER</x:v>
      </x:c>
      <x:c r="B28" s="22" t="str">
        <x:v>PR009 automated blank stacker</x:v>
      </x:c>
      <x:c r="C28" s="22" t="str">
        <x:v>PressShop</x:v>
      </x:c>
      <x:c r="D28" s="22" t="str">
        <x:v>automated blank stacking and discharge machine</x:v>
      </x:c>
      <x:c r="E28" s="22" t="str">
        <x:v>SourceAssets/PR009/AutomatedBlankStacker/Candidate_v002</x:v>
      </x:c>
      <x:c r="F28" s="25" t="n">
        <x:v>0</x:v>
      </x:c>
      <x:c r="G28" s="22" t="str"/>
      <x:c r="H28" s="22" t="str">
        <x:v>CURATED_SOURCE_AUTHORITY</x:v>
      </x:c>
      <x:c r="I28" s="22" t="str"/>
      <x:c r="J28" s="22" t="str"/>
      <x:c r="K28" s="22" t="str">
        <x:v>PASS</x:v>
      </x:c>
      <x:c r="L28" s="22" t="str">
        <x:v>CANDIDATE_V002</x:v>
      </x:c>
      <x:c r="M28" s="22" t="str"/>
      <x:c r="N28" s="22" t="str"/>
      <x:c r="O28" s="22" t="str">
        <x:v>Track Unreal staging/promotion authority.</x:v>
      </x:c>
      <x:c r="P28" s="22" t="str">
        <x:v>Existing curated project authority</x:v>
      </x:c>
      <x:c r="Q28" s="22" t="str">
        <x:v>See project provenance authority</x:v>
      </x:c>
      <x:c r="R28" s="30" t="n">
        <x:v>46246</x:v>
      </x:c>
      <x:c r="S28" s="22" t="str">
        <x:v>AutomatedBlankStacker Candidate_v002</x:v>
      </x:c>
      <x:c r="T28" s="22" t="str">
        <x:v>No</x:v>
      </x:c>
      <x:c r="U28" s="33" t="str">
        <x:f>IF($T28="Yes",COUNTIF($T$6:T28,"Yes"),"")</x:f>
      </x:c>
    </x:row>
    <x:row r="29">
      <x:c r="A29" s="22" t="str">
        <x:v>LB_PR010_FOUR_LANE_BUFFER</x:v>
      </x:c>
      <x:c r="B29" s="22" t="str">
        <x:v>PR010 four-lane blank buffer</x:v>
      </x:c>
      <x:c r="C29" s="22" t="str">
        <x:v>PressShop</x:v>
      </x:c>
      <x:c r="D29" s="22" t="str">
        <x:v>four-lane blank buffer and transfer zone</x:v>
      </x:c>
      <x:c r="E29" s="22" t="str">
        <x:v>SourceAssets/PR010/FourLaneBuffer/ReleaseArt_v103</x:v>
      </x:c>
      <x:c r="F29" s="25" t="n">
        <x:v>0</x:v>
      </x:c>
      <x:c r="G29" s="22" t="str"/>
      <x:c r="H29" s="22" t="str">
        <x:v>CURATED_SOURCE_AUTHORITY</x:v>
      </x:c>
      <x:c r="I29" s="22" t="str"/>
      <x:c r="J29" s="22" t="str"/>
      <x:c r="K29" s="22" t="str">
        <x:v>PASS</x:v>
      </x:c>
      <x:c r="L29" s="22" t="str">
        <x:v>RELEASE_ART_V103</x:v>
      </x:c>
      <x:c r="M29" s="22" t="str"/>
      <x:c r="N29" s="22" t="str"/>
      <x:c r="O29" s="22" t="str">
        <x:v>Maintain navigation/collision release gates and packaged validation.</x:v>
      </x:c>
      <x:c r="P29" s="22" t="str">
        <x:v>Existing curated project authority</x:v>
      </x:c>
      <x:c r="Q29" s="22" t="str">
        <x:v>See project provenance authority</x:v>
      </x:c>
      <x:c r="R29" s="30" t="n">
        <x:v>46246</x:v>
      </x:c>
      <x:c r="S29" s="22" t="str">
        <x:v>FourLaneBuffer ReleaseArt_v103</x:v>
      </x:c>
      <x:c r="T29" s="22" t="str">
        <x:v>No</x:v>
      </x:c>
      <x:c r="U29" s="33" t="str">
        <x:f>IF($T29="Yes",COUNTIF($T$6:T29,"Yes"),"")</x:f>
      </x:c>
    </x:row>
    <x:row r="30">
      <x:c r="A30" s="22" t="str">
        <x:v>LB_C2040_PANEL_RUNTIME_V001</x:v>
      </x:c>
      <x:c r="B30" s="22" t="str">
        <x:v>Cairnwell 2040 exterior panel runtime set</x:v>
      </x:c>
      <x:c r="C30" s="22" t="str">
        <x:v>Vehicles/Cairnwell2040</x:v>
      </x:c>
      <x:c r="D30" s="22" t="str">
        <x:v>separate WIP exterior closure/body panels</x:v>
      </x:c>
      <x:c r="E30" s="22" t="str">
        <x:v>SourceAssets/Candidate/Vehicles/Cairnwell2040/PanelRuntime_v001</x:v>
      </x:c>
      <x:c r="F30" s="25" t="n">
        <x:v>0</x:v>
      </x:c>
      <x:c r="G30" s="22" t="str">
        <x:v>V001</x:v>
      </x:c>
      <x:c r="H30" s="22" t="str">
        <x:v>UNREAL_IMPORTED_CANDIDATE</x:v>
      </x:c>
      <x:c r="I30" s="22" t="str"/>
      <x:c r="J30" s="22" t="str"/>
      <x:c r="K30" s="22" t="str">
        <x:v>PASS</x:v>
      </x:c>
      <x:c r="L30" s="22" t="str">
        <x:v>FBX_REIMPORT_VALIDATED</x:v>
      </x:c>
      <x:c r="M30" s="22" t="str">
        <x:v>Content/LineBoss/Candidates/Vehicles/Cairnwell2040/PanelRuntime_v001</x:v>
      </x:c>
      <x:c r="N30" s="22" t="str"/>
      <x:c r="O30" s="22" t="str">
        <x:v>Fit and scale against approved lower-underbody and upper-BIW authorities.</x:v>
      </x:c>
      <x:c r="P30" s="22" t="str">
        <x:v>Existing curated project authority</x:v>
      </x:c>
      <x:c r="Q30" s="22" t="str">
        <x:v>See project provenance authority</x:v>
      </x:c>
      <x:c r="R30" s="30" t="n">
        <x:v>46246</x:v>
      </x:c>
      <x:c r="S30" s="22" t="str">
        <x:v>PanelRuntime_v001</x:v>
      </x:c>
      <x:c r="T30" s="22" t="str">
        <x:v>No</x:v>
      </x:c>
      <x:c r="U30" s="33" t="str">
        <x:f>IF($T30="Yes",COUNTIF($T$6:T30,"Yes"),"")</x:f>
      </x:c>
    </x:row>
    <x:row r="31">
      <x:c r="A31" s="23" t="str">
        <x:v>LB_CAIRNWELL_PRIMARY_BRAND_V001</x:v>
      </x:c>
      <x:c r="B31" s="23" t="str">
        <x:v>Cairnwell primary brand authority</x:v>
      </x:c>
      <x:c r="C31" s="23" t="str">
        <x:v>Brand</x:v>
      </x:c>
      <x:c r="D31" s="23" t="str">
        <x:v>primary game/factory brand</x:v>
      </x:c>
      <x:c r="E31" s="23" t="str">
        <x:v>SourceAssets/Brand/Cairnwell</x:v>
      </x:c>
      <x:c r="F31" s="28" t="n">
        <x:v>0</x:v>
      </x:c>
      <x:c r="G31" s="23" t="str">
        <x:v>V001</x:v>
      </x:c>
      <x:c r="H31" s="23" t="str">
        <x:v>CURATED_SOURCE_AUTHORITY</x:v>
      </x:c>
      <x:c r="I31" s="23" t="str"/>
      <x:c r="J31" s="23" t="str"/>
      <x:c r="K31" s="23" t="str">
        <x:v>PASS</x:v>
      </x:c>
      <x:c r="L31" s="23" t="str">
        <x:v>CONTENT_VARIANTS_PRESENT</x:v>
      </x:c>
      <x:c r="M31" s="23" t="str">
        <x:v>Content/LineBoss/Brand/Cairnwell</x:v>
      </x:c>
      <x:c r="N31" s="23" t="str"/>
      <x:c r="O31" s="23" t="str">
        <x:v>Keep logo variants and UI use tied to brand authority document.</x:v>
      </x:c>
      <x:c r="P31" s="23" t="str">
        <x:v>Existing curated project authority</x:v>
      </x:c>
      <x:c r="Q31" s="23" t="str">
        <x:v>See project provenance authority</x:v>
      </x:c>
      <x:c r="R31" s="31" t="n">
        <x:v>46246</x:v>
      </x:c>
      <x:c r="S31" s="23" t="str">
        <x:v>Cairnwell primary logo Candidate_v001</x:v>
      </x:c>
      <x:c r="T31" s="23" t="str">
        <x:v>No</x:v>
      </x:c>
      <x:c r="U31" s="34" t="str">
        <x:f>IF($T31="Yes",COUNTIF($T$6:T31,"Yes"),"")</x:f>
      </x:c>
    </x:row>
  </x:sheetData>
  <x:mergeCells>
    <x:mergeCell ref="A1:U1"/>
    <x:mergeCell ref="A2:U2"/>
  </x:mergeCells>
  <x:conditionalFormatting sqref="H6:H31">
    <x:cfRule type="containsText" dxfId="0" priority="1" operator="containsText" text="REFERENCE_ONLY_RUNTIME_BLOCKED"/>
    <x:cfRule type="containsText" dxfId="1" priority="2" operator="containsText" text="RUNTIME_CANDIDATE_NOT_IMPORTED"/>
    <x:cfRule type="containsText" dxfId="2" priority="3" operator="containsText" text="UNREAL_IMPORTED_CANDIDATE"/>
    <x:cfRule type="containsText" dxfId="3" priority="4" operator="containsText" text="REJECTED_DO_NOT_USE"/>
    <x:cfRule type="containsText" dxfId="4" priority="5" operator="containsText" text="CURATED_SOURCE_AUTHORITY"/>
  </x:conditionalFormatting>
  <x:conditionalFormatting sqref="T6:T31">
    <x:cfRule type="containsText" dxfId="5" priority="6" operator="containsText" text="Yes"/>
    <x:cfRule type="containsText" dxfId="6" priority="7" operator="containsText" text="No"/>
  </x:conditionalFormatting>
  <x:dataValidations count="2">
    <x:dataValidation type="list" sqref="H6:H31">
      <x:formula1>"REFERENCE_ONLY_RUNTIME_BLOCKED,RUNTIME_CANDIDATE_NOT_IMPORTED,UNREAL_IMPORTED_CANDIDATE,REJECTED_DO_NOT_USE,CURATED_SOURCE_AUTHORITY"</x:formula1>
    </x:dataValidation>
    <x:dataValidation type="list" sqref="T6:T31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fa5bca346554a9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35" hidden="0" customWidth="1"/>
    <x:col min="4" max="4" width="58" hidden="0" customWidth="1"/>
    <x:col min="5" max="5" width="11" hidden="0" customWidth="1"/>
    <x:col min="6" max="6" width="66" hidden="0" customWidth="1"/>
    <x:col min="7" max="7" width="18" hidden="0" customWidth="1"/>
    <x:col min="8" max="8" width="18" hidden="0" customWidth="1"/>
    <x:col min="9" max="9" width="22" hidden="0" customWidth="1"/>
    <x:col min="10" max="10" width="22" hidden="0" customWidth="1"/>
    <x:col min="11" max="11" width="20" hidden="0" customWidth="1"/>
    <x:col min="12" max="12" width="20" hidden="0" customWidth="1"/>
    <x:col min="13" max="13" width="20" hidden="0" customWidth="1"/>
    <x:col min="14" max="14" width="38" hidden="0" customWidth="1"/>
    <x:col min="15" max="15" width="28" hidden="0" customWidth="1"/>
    <x:col min="16" max="16" width="28" hidden="0" customWidth="1"/>
    <x:col min="17" max="17" width="28" hidden="0" customWidth="1"/>
  </x:cols>
  <x:sheetData>
    <x:row r="1" ht="34" customHeight="1">
      <x:c r="A1" s="3" t="str">
        <x:v>LINE BOSS  |  Source Files &amp; Evidence</x:v>
      </x:c>
      <x:c r="B1" s="3" t="str">
        <x:v>LINE BOSS  |  Source Files &amp; Evidence</x:v>
      </x:c>
      <x:c r="C1" s="3" t="str">
        <x:v>LINE BOSS  |  Source Files &amp; Evidence</x:v>
      </x:c>
      <x:c r="D1" s="3" t="str">
        <x:v>LINE BOSS  |  Source Files &amp; Evidence</x:v>
      </x:c>
      <x:c r="E1" s="3" t="str">
        <x:v>LINE BOSS  |  Source Files &amp; Evidence</x:v>
      </x:c>
      <x:c r="F1" s="3" t="str">
        <x:v>LINE BOSS  |  Source Files &amp; Evidence</x:v>
      </x:c>
      <x:c r="G1" s="3" t="str">
        <x:v>LINE BOSS  |  Source Files &amp; Evidence</x:v>
      </x:c>
      <x:c r="H1" s="3" t="str">
        <x:v>LINE BOSS  |  Source Files &amp; Evidence</x:v>
      </x:c>
      <x:c r="I1" s="3" t="str">
        <x:v>LINE BOSS  |  Source Files &amp; Evidence</x:v>
      </x:c>
      <x:c r="J1" s="3" t="str">
        <x:v>LINE BOSS  |  Source Files &amp; Evidence</x:v>
      </x:c>
      <x:c r="K1" s="3" t="str">
        <x:v>LINE BOSS  |  Source Files &amp; Evidence</x:v>
      </x:c>
      <x:c r="L1" s="3" t="str">
        <x:v>LINE BOSS  |  Source Files &amp; Evidence</x:v>
      </x:c>
      <x:c r="M1" s="3" t="str">
        <x:v>LINE BOSS  |  Source Files &amp; Evidence</x:v>
      </x:c>
      <x:c r="N1" s="3" t="str">
        <x:v>LINE BOSS  |  Source Files &amp; Evidence</x:v>
      </x:c>
      <x:c r="O1" s="3" t="str">
        <x:v>LINE BOSS  |  Source Files &amp; Evidence</x:v>
      </x:c>
      <x:c r="P1" s="3" t="str">
        <x:v>LINE BOSS  |  Source Files &amp; Evidence</x:v>
      </x:c>
      <x:c r="Q1" s="3" t="str">
        <x:v>LINE BOSS  |  Source Files &amp; Evidence</x:v>
      </x:c>
    </x:row>
    <x:row r="2" ht="27" customHeight="1">
      <x:c r="A2" s="8" t="str">
        <x:v>Curated evidence only: today's supplied Meshy/Blender files and primary authorities. The exhaustive ledger path and file count are recorded on the control sheet.</x:v>
      </x:c>
      <x:c r="B2" s="8" t="str">
        <x:v>Curated evidence only: today's supplied Meshy/Blender files and primary authorities. The exhaustive ledger path and file count are recorded on the control sheet.</x:v>
      </x:c>
      <x:c r="C2" s="8" t="str">
        <x:v>Curated evidence only: today's supplied Meshy/Blender files and primary authorities. The exhaustive ledger path and file count are recorded on the control sheet.</x:v>
      </x:c>
      <x:c r="D2" s="8" t="str">
        <x:v>Curated evidence only: today's supplied Meshy/Blender files and primary authorities. The exhaustive ledger path and file count are recorded on the control sheet.</x:v>
      </x:c>
      <x:c r="E2" s="8" t="str">
        <x:v>Curated evidence only: today's supplied Meshy/Blender files and primary authorities. The exhaustive ledger path and file count are recorded on the control sheet.</x:v>
      </x:c>
      <x:c r="F2" s="8" t="str">
        <x:v>Curated evidence only: today's supplied Meshy/Blender files and primary authorities. The exhaustive ledger path and file count are recorded on the control sheet.</x:v>
      </x:c>
      <x:c r="G2" s="8" t="str">
        <x:v>Curated evidence only: today's supplied Meshy/Blender files and primary authorities. The exhaustive ledger path and file count are recorded on the control sheet.</x:v>
      </x:c>
      <x:c r="H2" s="8" t="str">
        <x:v>Curated evidence only: today's supplied Meshy/Blender files and primary authorities. The exhaustive ledger path and file count are recorded on the control sheet.</x:v>
      </x:c>
      <x:c r="I2" s="8" t="str">
        <x:v>Curated evidence only: today's supplied Meshy/Blender files and primary authorities. The exhaustive ledger path and file count are recorded on the control sheet.</x:v>
      </x:c>
      <x:c r="J2" s="8" t="str">
        <x:v>Curated evidence only: today's supplied Meshy/Blender files and primary authorities. The exhaustive ledger path and file count are recorded on the control sheet.</x:v>
      </x:c>
      <x:c r="K2" s="8" t="str">
        <x:v>Curated evidence only: today's supplied Meshy/Blender files and primary authorities. The exhaustive ledger path and file count are recorded on the control sheet.</x:v>
      </x:c>
      <x:c r="L2" s="8" t="str">
        <x:v>Curated evidence only: today's supplied Meshy/Blender files and primary authorities. The exhaustive ledger path and file count are recorded on the control sheet.</x:v>
      </x:c>
      <x:c r="M2" s="8" t="str">
        <x:v>Curated evidence only: today's supplied Meshy/Blender files and primary authorities. The exhaustive ledger path and file count are recorded on the control sheet.</x:v>
      </x:c>
      <x:c r="N2" s="8" t="str">
        <x:v>Curated evidence only: today's supplied Meshy/Blender files and primary authorities. The exhaustive ledger path and file count are recorded on the control sheet.</x:v>
      </x:c>
      <x:c r="O2" s="8" t="str">
        <x:v>Curated evidence only: today's supplied Meshy/Blender files and primary authorities. The exhaustive ledger path and file count are recorded on the control sheet.</x:v>
      </x:c>
      <x:c r="P2" s="8" t="str">
        <x:v>Curated evidence only: today's supplied Meshy/Blender files and primary authorities. The exhaustive ledger path and file count are recorded on the control sheet.</x:v>
      </x:c>
      <x:c r="Q2" s="8" t="str">
        <x:v>Curated evidence only: today's supplied Meshy/Blender files and primary authorities. The exhaustive ledger path and file count are recorded on the control sheet.</x:v>
      </x:c>
    </x:row>
    <x:row r="5" ht="29" customHeight="1">
      <x:c r="A5" s="13" t="str">
        <x:v>Source ID</x:v>
      </x:c>
      <x:c r="B5" s="13" t="str">
        <x:v>Family ID</x:v>
      </x:c>
      <x:c r="C5" s="13" t="str">
        <x:v>File Name</x:v>
      </x:c>
      <x:c r="D5" s="13" t="str">
        <x:v>Full Source Path</x:v>
      </x:c>
      <x:c r="E5" s="13" t="str">
        <x:v>Extension</x:v>
      </x:c>
      <x:c r="F5" s="13" t="str">
        <x:v>SHA-256</x:v>
      </x:c>
      <x:c r="G5" s="13" t="str">
        <x:v>Size (bytes)</x:v>
      </x:c>
      <x:c r="H5" s="13" t="str">
        <x:v>Date Modified</x:v>
      </x:c>
      <x:c r="I5" s="13" t="str">
        <x:v>Source Role</x:v>
      </x:c>
      <x:c r="J5" s="13" t="str">
        <x:v>Shop / System</x:v>
      </x:c>
      <x:c r="K5" s="13" t="str">
        <x:v>Audit Result</x:v>
      </x:c>
      <x:c r="L5" s="13" t="str">
        <x:v>Catalog Status</x:v>
      </x:c>
      <x:c r="M5" s="13" t="str">
        <x:v>Runtime Binding</x:v>
      </x:c>
      <x:c r="N5" s="13" t="str">
        <x:v>Blocker / Next Action</x:v>
      </x:c>
      <x:c r="O5" s="13" t="str">
        <x:v>Evidence Scope</x:v>
      </x:c>
      <x:c r="P5" s="13" t="str">
        <x:v>Exhaustive Ledger Reference</x:v>
      </x:c>
      <x:c r="Q5" s="13" t="str">
        <x:v>Notes</x:v>
      </x:c>
    </x:row>
    <x:row r="6">
      <x:c r="A6" s="21" t="str">
        <x:v>SRC-TODAY-001</x:v>
      </x:c>
      <x:c r="B6" s="21" t="str">
        <x:v>LB_C2040_FINISHED_VEHICLE_VISUAL_INTAKE_V001</x:v>
      </x:c>
      <x:c r="C6" s="21" t="str">
        <x:v>Meshy_AI_Industrial_automotive_0812060952_generate.blend</x:v>
      </x:c>
      <x:c r="D6" s="21" t="str">
        <x:v>C:/Users/greg_/Downloads/Meshy_AI_Industrial_automotive_0812060952_generate.blend</x:v>
      </x:c>
      <x:c r="E6" s="21" t="str">
        <x:v>.blend</x:v>
      </x:c>
      <x:c r="F6" s="21" t="str">
        <x:v>D08EB1DF7F43B26B087E1BA7D4D15BA094F56FAE8B029F385A41FFAE7CE83BAE</x:v>
      </x:c>
      <x:c r="G6" s="27" t="n">
        <x:v>99311792</x:v>
      </x:c>
      <x:c r="H6" s="35" t="n">
        <x:v>46246.25694532407</x:v>
      </x:c>
      <x:c r="I6" s="21" t="str">
        <x:v>generate</x:v>
      </x:c>
      <x:c r="J6" s="21" t="str">
        <x:v>Vehicles/Cairnwell2040</x:v>
      </x:c>
      <x:c r="K6" s="21" t="str">
        <x:v>PASS</x:v>
      </x:c>
      <x:c r="L6" s="21" t="str">
        <x:v>REFERENCE_ONLY_RUNTIME_BLOCKED</x:v>
      </x:c>
      <x:c r="M6" s="21" t="str"/>
      <x:c r="N6" s="21" t="str">
        <x:v>Use only as completed-vehicle visual reference; rebuild semantic optimized vehicle modules if gameplay requires a finished car.</x:v>
      </x:c>
      <x:c r="O6" s="21" t="str">
        <x:v>SUPPLIED_TODAY_ORIGINAL</x:v>
      </x:c>
      <x:c r="P6" s="21" t="str">
        <x:v>Docs/AssetCatalog/sourceassets_file_ledger.jsonl</x:v>
      </x:c>
      <x:c r="Q6" s="21" t="str">
        <x:v>Intake copy: SourceAssets/Candidate/Vehicles/Cairnwell2040/FinishedVehicleVisual_Intake_v001/Authority/GenerateTextureBranch/Meshy_AI_Industrial_automotive_0812060952_generate.blend</x:v>
      </x:c>
    </x:row>
    <x:row r="7">
      <x:c r="A7" s="22" t="str">
        <x:v>SRC-TODAY-002</x:v>
      </x:c>
      <x:c r="B7" s="22" t="str">
        <x:v>LB_C2040_FINISHED_VEHICLE_VISUAL_INTAKE_V001</x:v>
      </x:c>
      <x:c r="C7" s="22" t="str">
        <x:v>Meshy_AI_Industrial_automotive_0812061432_texture.blend</x:v>
      </x:c>
      <x:c r="D7" s="22" t="str">
        <x:v>C:/Users/greg_/Downloads/Meshy_AI_Industrial_automotive_0812061432_texture.blend</x:v>
      </x:c>
      <x:c r="E7" s="22" t="str">
        <x:v>.blend</x:v>
      </x:c>
      <x:c r="F7" s="22" t="str">
        <x:v>8D7657CDD92C85CD734D42BCA468E4C32E7C95B415489727022FFF00CC3D5C5A</x:v>
      </x:c>
      <x:c r="G7" s="25" t="n">
        <x:v>178161842</x:v>
      </x:c>
      <x:c r="H7" s="24" t="n">
        <x:v>46246.26025467592</x:v>
      </x:c>
      <x:c r="I7" s="22" t="str">
        <x:v>texture</x:v>
      </x:c>
      <x:c r="J7" s="22" t="str">
        <x:v>Vehicles/Cairnwell2040</x:v>
      </x:c>
      <x:c r="K7" s="22" t="str">
        <x:v>PASS</x:v>
      </x:c>
      <x:c r="L7" s="22" t="str">
        <x:v>REFERENCE_ONLY_RUNTIME_BLOCKED</x:v>
      </x:c>
      <x:c r="M7" s="22" t="str"/>
      <x:c r="N7" s="22" t="str">
        <x:v>Use only as completed-vehicle visual reference; rebuild semantic optimized vehicle modules if gameplay requires a finished car.</x:v>
      </x:c>
      <x:c r="O7" s="22" t="str">
        <x:v>SUPPLIED_TODAY_ORIGINAL</x:v>
      </x:c>
      <x:c r="P7" s="22" t="str">
        <x:v>Docs/AssetCatalog/sourceassets_file_ledger.jsonl</x:v>
      </x:c>
      <x:c r="Q7" s="22" t="str">
        <x:v>Intake copy: SourceAssets/Candidate/Vehicles/Cairnwell2040/FinishedVehicleVisual_Intake_v001/Authority/GenerateTextureBranch/Meshy_AI_Industrial_automotive_0812061432_texture.blend</x:v>
      </x:c>
    </x:row>
    <x:row r="8">
      <x:c r="A8" s="22" t="str">
        <x:v>SRC-TODAY-003</x:v>
      </x:c>
      <x:c r="B8" s="22" t="str">
        <x:v>LB_C2040_FINISHED_VEHICLE_VISUAL_INTAKE_V001</x:v>
      </x:c>
      <x:c r="C8" s="22" t="str">
        <x:v>Meshy_AI__0812061425_part-segmentation.blend</x:v>
      </x:c>
      <x:c r="D8" s="22" t="str">
        <x:v>C:/Users/greg_/Downloads/Meshy_AI__0812061425_part-segmentation.blend</x:v>
      </x:c>
      <x:c r="E8" s="22" t="str">
        <x:v>.blend</x:v>
      </x:c>
      <x:c r="F8" s="22" t="str">
        <x:v>8C98C2362A092BAA874F6FF695496167A7264244A9C539AAA38040508D0EB422</x:v>
      </x:c>
      <x:c r="G8" s="25" t="n">
        <x:v>155645465</x:v>
      </x:c>
      <x:c r="H8" s="24" t="n">
        <x:v>46246.26035523148</x:v>
      </x:c>
      <x:c r="I8" s="22" t="str">
        <x:v>part-segmentation</x:v>
      </x:c>
      <x:c r="J8" s="22" t="str">
        <x:v>Vehicles/Cairnwell2040</x:v>
      </x:c>
      <x:c r="K8" s="22" t="str">
        <x:v>PASS</x:v>
      </x:c>
      <x:c r="L8" s="22" t="str">
        <x:v>REFERENCE_ONLY_RUNTIME_BLOCKED</x:v>
      </x:c>
      <x:c r="M8" s="22" t="str"/>
      <x:c r="N8" s="22" t="str">
        <x:v>Use only as completed-vehicle visual reference; rebuild semantic optimized vehicle modules if gameplay requires a finished car.</x:v>
      </x:c>
      <x:c r="O8" s="22" t="str">
        <x:v>SUPPLIED_TODAY_ORIGINAL</x:v>
      </x:c>
      <x:c r="P8" s="22" t="str">
        <x:v>Docs/AssetCatalog/sourceassets_file_ledger.jsonl</x:v>
      </x:c>
      <x:c r="Q8" s="22" t="str">
        <x:v>Intake copy: SourceAssets/Candidate/Vehicles/Cairnwell2040/FinishedVehicleVisual_Intake_v001/Authority/UnverifiedSegmentationBranch/Meshy_AI__0812061425_part-segmentation.blend</x:v>
      </x:c>
    </x:row>
    <x:row r="9">
      <x:c r="A9" s="22" t="str">
        <x:v>SRC-TODAY-004</x:v>
      </x:c>
      <x:c r="B9" s="22" t="str">
        <x:v>LB_C2040_CHASSIS_FRAME_UNDERBODY_INTAKE_V001</x:v>
      </x:c>
      <x:c r="C9" s="22" t="str">
        <x:v>Meshy_AI_Automotive_Chassis_Fr_0812064719_generate.blend</x:v>
      </x:c>
      <x:c r="D9" s="22" t="str">
        <x:v>C:/Users/greg_/Downloads/Meshy_AI_Automotive_Chassis_Fr_0812064719_generate.blend</x:v>
      </x:c>
      <x:c r="E9" s="22" t="str">
        <x:v>.blend</x:v>
      </x:c>
      <x:c r="F9" s="22" t="str">
        <x:v>C6570C6A5335D20FE56F1F4073CB1829A9392614C5D53047D3025CB041F5D281</x:v>
      </x:c>
      <x:c r="G9" s="25" t="n">
        <x:v>154632407</x:v>
      </x:c>
      <x:c r="H9" s="24" t="n">
        <x:v>46246.28298806713</x:v>
      </x:c>
      <x:c r="I9" s="22" t="str">
        <x:v>generate</x:v>
      </x:c>
      <x:c r="J9" s="22" t="str">
        <x:v>Vehicles/Cairnwell2040</x:v>
      </x:c>
      <x:c r="K9" s="22" t="str">
        <x:v>PASS</x:v>
      </x:c>
      <x:c r="L9" s="22" t="str">
        <x:v>REFERENCE_ONLY_RUNTIME_BLOCKED</x:v>
      </x:c>
      <x:c r="M9" s="22" t="str"/>
      <x:c r="N9" s="22" t="str">
        <x:v>Use 4813 only as a visual split reference: its 20 generic objects do not establish a verified semantic body-versus-skid split. Rebuild semantic underbody groups and a genuinely separate skid; both segmentation alternates fail lineage to the coherent generate/texture branch.</x:v>
      </x:c>
      <x:c r="O9" s="22" t="str">
        <x:v>SUPPLIED_TODAY_ORIGINAL</x:v>
      </x:c>
      <x:c r="P9" s="22" t="str">
        <x:v>Docs/AssetCatalog/sourceassets_file_ledger.jsonl</x:v>
      </x:c>
      <x:c r="Q9" s="22" t="str">
        <x:v>Intake copy: SourceAssets/Candidate/Vehicles/Cairnwell2040/ChassisFrameUnderbody_Intake_v001/Authority/BranchA_GenerateTexture/Meshy_AI_Automotive_Chassis_Fr_0812064719_generate.blend</x:v>
      </x:c>
    </x:row>
    <x:row r="10">
      <x:c r="A10" s="22" t="str">
        <x:v>SRC-TODAY-005</x:v>
      </x:c>
      <x:c r="B10" s="22" t="str">
        <x:v>LB_C2040_CHASSIS_FRAME_UNDERBODY_INTAKE_V001</x:v>
      </x:c>
      <x:c r="C10" s="22" t="str">
        <x:v>Meshy_AI_Automotive_Chassis_Fr_0812064832_texture.blend</x:v>
      </x:c>
      <x:c r="D10" s="22" t="str">
        <x:v>C:/Users/greg_/Downloads/Meshy_AI_Automotive_Chassis_Fr_0812064832_texture.blend</x:v>
      </x:c>
      <x:c r="E10" s="22" t="str">
        <x:v>.blend</x:v>
      </x:c>
      <x:c r="F10" s="22" t="str">
        <x:v>D6F6668A8460457E4AC3D3B89E994A8E4FB003E46B5CB9EF6DE4B2B95D101D29</x:v>
      </x:c>
      <x:c r="G10" s="25" t="n">
        <x:v>273701815</x:v>
      </x:c>
      <x:c r="H10" s="24" t="n">
        <x:v>46246.283923020834</x:v>
      </x:c>
      <x:c r="I10" s="22" t="str">
        <x:v>texture</x:v>
      </x:c>
      <x:c r="J10" s="22" t="str">
        <x:v>Vehicles/Cairnwell2040</x:v>
      </x:c>
      <x:c r="K10" s="22" t="str">
        <x:v>PASS</x:v>
      </x:c>
      <x:c r="L10" s="22" t="str">
        <x:v>REFERENCE_ONLY_RUNTIME_BLOCKED</x:v>
      </x:c>
      <x:c r="M10" s="22" t="str"/>
      <x:c r="N10" s="22" t="str">
        <x:v>Use 4813 only as a visual split reference: its 20 generic objects do not establish a verified semantic body-versus-skid split. Rebuild semantic underbody groups and a genuinely separate skid; both segmentation alternates fail lineage to the coherent generate/texture branch.</x:v>
      </x:c>
      <x:c r="O10" s="22" t="str">
        <x:v>SUPPLIED_TODAY_ORIGINAL</x:v>
      </x:c>
      <x:c r="P10" s="22" t="str">
        <x:v>Docs/AssetCatalog/sourceassets_file_ledger.jsonl</x:v>
      </x:c>
      <x:c r="Q10" s="22" t="str">
        <x:v>Intake copy: SourceAssets/Candidate/Vehicles/Cairnwell2040/ChassisFrameUnderbody_Intake_v001/Authority/BranchA_GenerateTexture/Meshy_AI_Automotive_Chassis_Fr_0812064832_texture.blend</x:v>
      </x:c>
    </x:row>
    <x:row r="11">
      <x:c r="A11" s="22" t="str">
        <x:v>SRC-TODAY-006</x:v>
      </x:c>
      <x:c r="B11" s="22" t="str">
        <x:v>LB_C2040_CHASSIS_FRAME_UNDERBODY_INTAKE_V001</x:v>
      </x:c>
      <x:c r="C11" s="22" t="str">
        <x:v>Meshy_AI__0812064711_part-segmentation.blend</x:v>
      </x:c>
      <x:c r="D11" s="22" t="str">
        <x:v>C:/Users/greg_/Downloads/Meshy_AI__0812064711_part-segmentation.blend</x:v>
      </x:c>
      <x:c r="E11" s="22" t="str">
        <x:v>.blend</x:v>
      </x:c>
      <x:c r="F11" s="22" t="str">
        <x:v>1C037786B2382CEAC689A8A84F8BBF94D9B90B8DA34D5E07A5FD19D976A2AD2C</x:v>
      </x:c>
      <x:c r="G11" s="25" t="n">
        <x:v>234031425</x:v>
      </x:c>
      <x:c r="H11" s="24" t="n">
        <x:v>46246.28324668982</x:v>
      </x:c>
      <x:c r="I11" s="22" t="str">
        <x:v>part-segmentation-alternate-a</x:v>
      </x:c>
      <x:c r="J11" s="22" t="str">
        <x:v>Vehicles/Cairnwell2040</x:v>
      </x:c>
      <x:c r="K11" s="22" t="str">
        <x:v>PASS</x:v>
      </x:c>
      <x:c r="L11" s="22" t="str">
        <x:v>REFERENCE_ONLY_RUNTIME_BLOCKED</x:v>
      </x:c>
      <x:c r="M11" s="22" t="str"/>
      <x:c r="N11" s="22" t="str">
        <x:v>Use 4813 only as a visual split reference: its 20 generic objects do not establish a verified semantic body-versus-skid split. Rebuild semantic underbody groups and a genuinely separate skid; both segmentation alternates fail lineage to the coherent generate/texture branch.</x:v>
      </x:c>
      <x:c r="O11" s="22" t="str">
        <x:v>SUPPLIED_TODAY_ORIGINAL</x:v>
      </x:c>
      <x:c r="P11" s="22" t="str">
        <x:v>Docs/AssetCatalog/sourceassets_file_ledger.jsonl</x:v>
      </x:c>
      <x:c r="Q11" s="22" t="str">
        <x:v>Intake copy: SourceAssets/Candidate/Vehicles/Cairnwell2040/ChassisFrameUnderbody_Intake_v001/Authority/BranchB_Segmentation_4711/Meshy_AI__0812064711_part-segmentation.blend</x:v>
      </x:c>
    </x:row>
    <x:row r="12">
      <x:c r="A12" s="22" t="str">
        <x:v>SRC-TODAY-007</x:v>
      </x:c>
      <x:c r="B12" s="22" t="str">
        <x:v>LB_C2040_CHASSIS_FRAME_UNDERBODY_INTAKE_V001</x:v>
      </x:c>
      <x:c r="C12" s="22" t="str">
        <x:v>Meshy_AI__0812064813_part-segmentation.blend</x:v>
      </x:c>
      <x:c r="D12" s="22" t="str">
        <x:v>C:/Users/greg_/Downloads/Meshy_AI__0812064813_part-segmentation.blend</x:v>
      </x:c>
      <x:c r="E12" s="22" t="str">
        <x:v>.blend</x:v>
      </x:c>
      <x:c r="F12" s="22" t="str">
        <x:v>D11586ED5F885C8EA26E685FB5756DCEC2A57C3EBB51B6EA887699CF68177480</x:v>
      </x:c>
      <x:c r="G12" s="25" t="n">
        <x:v>233593150</x:v>
      </x:c>
      <x:c r="H12" s="24" t="n">
        <x:v>46246.28399358796</x:v>
      </x:c>
      <x:c r="I12" s="22" t="str">
        <x:v>part-segmentation-alternate-b</x:v>
      </x:c>
      <x:c r="J12" s="22" t="str">
        <x:v>Vehicles/Cairnwell2040</x:v>
      </x:c>
      <x:c r="K12" s="22" t="str">
        <x:v>PASS</x:v>
      </x:c>
      <x:c r="L12" s="22" t="str">
        <x:v>REFERENCE_ONLY_RUNTIME_BLOCKED</x:v>
      </x:c>
      <x:c r="M12" s="22" t="str"/>
      <x:c r="N12" s="22" t="str">
        <x:v>Use 4813 only as a visual split reference: its 20 generic objects do not establish a verified semantic body-versus-skid split. Rebuild semantic underbody groups and a genuinely separate skid; both segmentation alternates fail lineage to the coherent generate/texture branch.</x:v>
      </x:c>
      <x:c r="O12" s="22" t="str">
        <x:v>SUPPLIED_TODAY_ORIGINAL</x:v>
      </x:c>
      <x:c r="P12" s="22" t="str">
        <x:v>Docs/AssetCatalog/sourceassets_file_ledger.jsonl</x:v>
      </x:c>
      <x:c r="Q12" s="22" t="str">
        <x:v>Intake copy: SourceAssets/Candidate/Vehicles/Cairnwell2040/ChassisFrameUnderbody_Intake_v001/Authority/BranchC_Segmentation_4813/Meshy_AI__0812064813_part-segmentation.blend</x:v>
      </x:c>
    </x:row>
    <x:row r="13">
      <x:c r="A13" s="22" t="str">
        <x:v>SRC-TODAY-008</x:v>
      </x:c>
      <x:c r="B13" s="22" t="str">
        <x:v>LB_VISION_QUALITY_GATE_INTAKE_V001</x:v>
      </x:c>
      <x:c r="C13" s="22" t="str">
        <x:v>Meshy_AI_Industrial_Vision_Gat_0812065048_generate.blend</x:v>
      </x:c>
      <x:c r="D13" s="22" t="str">
        <x:v>C:/Users/greg_/Downloads/Meshy_AI_Industrial_Vision_Gat_0812065048_generate.blend</x:v>
      </x:c>
      <x:c r="E13" s="22" t="str">
        <x:v>.blend</x:v>
      </x:c>
      <x:c r="F13" s="22" t="str">
        <x:v>1AF303200B02F439529117FD545BC4023AFA0FCBB26484493D5E7633CA55238E</x:v>
      </x:c>
      <x:c r="G13" s="25" t="n">
        <x:v>153952850</x:v>
      </x:c>
      <x:c r="H13" s="24" t="n">
        <x:v>46246.285417349536</x:v>
      </x:c>
      <x:c r="I13" s="22" t="str">
        <x:v>generate</x:v>
      </x:c>
      <x:c r="J13" s="22" t="str">
        <x:v>WeldShop</x:v>
      </x:c>
      <x:c r="K13" s="22" t="str">
        <x:v>PASS</x:v>
      </x:c>
      <x:c r="L13" s="22" t="str">
        <x:v>REFERENCE_ONLY_RUNTIME_BLOCKED</x:v>
      </x:c>
      <x:c r="M13" s="22" t="str"/>
      <x:c r="N13" s="22" t="str">
        <x:v>Modular rebuild at approved 4.5 x 1.2 x 3.2 m envelope with aimed scanner heads and gameplay trigger.</x:v>
      </x:c>
      <x:c r="O13" s="22" t="str">
        <x:v>SUPPLIED_TODAY_ORIGINAL</x:v>
      </x:c>
      <x:c r="P13" s="22" t="str">
        <x:v>Docs/AssetCatalog/sourceassets_file_ledger.jsonl</x:v>
      </x:c>
      <x:c r="Q13" s="22" t="str">
        <x:v>Intake copy: SourceAssets/Candidate/WeldShop/VisionQualityGate_Intake_v001/Authority/GenerateTextureBranch/Meshy_AI_Industrial_Vision_Gat_0812065048_generate.blend</x:v>
      </x:c>
    </x:row>
    <x:row r="14">
      <x:c r="A14" s="22" t="str">
        <x:v>SRC-TODAY-009</x:v>
      </x:c>
      <x:c r="B14" s="22" t="str">
        <x:v>LB_VISION_QUALITY_GATE_INTAKE_V001</x:v>
      </x:c>
      <x:c r="C14" s="22" t="str">
        <x:v>Meshy_AI_Industrial_Vision_Gat_0812065138_texture.blend</x:v>
      </x:c>
      <x:c r="D14" s="22" t="str">
        <x:v>C:/Users/greg_/Downloads/Meshy_AI_Industrial_Vision_Gat_0812065138_texture.blend</x:v>
      </x:c>
      <x:c r="E14" s="22" t="str">
        <x:v>.blend</x:v>
      </x:c>
      <x:c r="F14" s="22" t="str">
        <x:v>31C592800E448018E7388F089AFE73FFC7456B34982F3C0A03CFB3BB678EC254</x:v>
      </x:c>
      <x:c r="G14" s="25" t="n">
        <x:v>273679749</x:v>
      </x:c>
      <x:c r="H14" s="24" t="n">
        <x:v>46246.28607650463</x:v>
      </x:c>
      <x:c r="I14" s="22" t="str">
        <x:v>texture</x:v>
      </x:c>
      <x:c r="J14" s="22" t="str">
        <x:v>WeldShop</x:v>
      </x:c>
      <x:c r="K14" s="22" t="str">
        <x:v>PASS</x:v>
      </x:c>
      <x:c r="L14" s="22" t="str">
        <x:v>REFERENCE_ONLY_RUNTIME_BLOCKED</x:v>
      </x:c>
      <x:c r="M14" s="22" t="str"/>
      <x:c r="N14" s="22" t="str">
        <x:v>Modular rebuild at approved 4.5 x 1.2 x 3.2 m envelope with aimed scanner heads and gameplay trigger.</x:v>
      </x:c>
      <x:c r="O14" s="22" t="str">
        <x:v>SUPPLIED_TODAY_ORIGINAL</x:v>
      </x:c>
      <x:c r="P14" s="22" t="str">
        <x:v>Docs/AssetCatalog/sourceassets_file_ledger.jsonl</x:v>
      </x:c>
      <x:c r="Q14" s="22" t="str">
        <x:v>Intake copy: SourceAssets/Candidate/WeldShop/VisionQualityGate_Intake_v001/Authority/GenerateTextureBranch/Meshy_AI_Industrial_Vision_Gat_0812065138_texture.blend</x:v>
      </x:c>
    </x:row>
    <x:row r="15">
      <x:c r="A15" s="22" t="str">
        <x:v>SRC-TODAY-010</x:v>
      </x:c>
      <x:c r="B15" s="22" t="str">
        <x:v>LB_VISION_QUALITY_GATE_INTAKE_V001</x:v>
      </x:c>
      <x:c r="C15" s="22" t="str">
        <x:v>Meshy_AI__0812065058_part-segmentation.blend</x:v>
      </x:c>
      <x:c r="D15" s="22" t="str">
        <x:v>C:/Users/greg_/Downloads/Meshy_AI__0812065058_part-segmentation.blend</x:v>
      </x:c>
      <x:c r="E15" s="22" t="str">
        <x:v>.blend</x:v>
      </x:c>
      <x:c r="F15" s="22" t="str">
        <x:v>BF97A4D829CE9C686DFD9CAA8A945459EF86CA80BE28E2EF7E7FE2CE5EFC708D</x:v>
      </x:c>
      <x:c r="G15" s="25" t="n">
        <x:v>232102457</x:v>
      </x:c>
      <x:c r="H15" s="24" t="n">
        <x:v>46246.28585954861</x:v>
      </x:c>
      <x:c r="I15" s="22" t="str">
        <x:v>part-segmentation</x:v>
      </x:c>
      <x:c r="J15" s="22" t="str">
        <x:v>WeldShop</x:v>
      </x:c>
      <x:c r="K15" s="22" t="str">
        <x:v>PASS</x:v>
      </x:c>
      <x:c r="L15" s="22" t="str">
        <x:v>REFERENCE_ONLY_RUNTIME_BLOCKED</x:v>
      </x:c>
      <x:c r="M15" s="22" t="str"/>
      <x:c r="N15" s="22" t="str">
        <x:v>Modular rebuild at approved 4.5 x 1.2 x 3.2 m envelope with aimed scanner heads and gameplay trigger.</x:v>
      </x:c>
      <x:c r="O15" s="22" t="str">
        <x:v>SUPPLIED_TODAY_ORIGINAL</x:v>
      </x:c>
      <x:c r="P15" s="22" t="str">
        <x:v>Docs/AssetCatalog/sourceassets_file_ledger.jsonl</x:v>
      </x:c>
      <x:c r="Q15" s="22" t="str">
        <x:v>Intake copy: SourceAssets/Candidate/WeldShop/VisionQualityGate_Intake_v001/Authority/UnverifiedSegmentationBranch/Meshy_AI__0812065058_part-segmentation.blend</x:v>
      </x:c>
    </x:row>
    <x:row r="16">
      <x:c r="A16" s="22" t="str">
        <x:v>SRC-TODAY-011</x:v>
      </x:c>
      <x:c r="B16" s="22" t="str">
        <x:v>LB_VACUUM_PANEL_PICK_EOAT_INTAKE_V001</x:v>
      </x:c>
      <x:c r="C16" s="22" t="str">
        <x:v>Meshy_AI_Industrial_Vacuum_Lif_0812065446_generate.blend</x:v>
      </x:c>
      <x:c r="D16" s="22" t="str">
        <x:v>C:/Users/greg_/Downloads/Meshy_AI_Industrial_Vacuum_Lif_0812065446_generate.blend</x:v>
      </x:c>
      <x:c r="E16" s="22" t="str">
        <x:v>.blend</x:v>
      </x:c>
      <x:c r="F16" s="22" t="str">
        <x:v>7CF63B8A1DB4B7A0BA9866DA421D150EB4E70988503A867138BE2E6158AA3087</x:v>
      </x:c>
      <x:c r="G16" s="25" t="n">
        <x:v>155425598</x:v>
      </x:c>
      <x:c r="H16" s="24" t="n">
        <x:v>46246.288164363425</x:v>
      </x:c>
      <x:c r="I16" s="22" t="str">
        <x:v>generate</x:v>
      </x:c>
      <x:c r="J16" s="22" t="str">
        <x:v>WeldShop</x:v>
      </x:c>
      <x:c r="K16" s="22" t="str">
        <x:v>CONCEPT_PASS_EXACT_BLOCKED</x:v>
      </x:c>
      <x:c r="L16" s="22" t="str">
        <x:v>REFERENCE_ONLY_RUNTIME_BLOCKED</x:v>
      </x:c>
      <x:c r="M16" s="22" t="str"/>
      <x:c r="N16" s="22" t="str">
        <x:v>Rebuild from six visible cups to the specified eight, with flange root, arm pivots, contact sockets, collision and LODs.</x:v>
      </x:c>
      <x:c r="O16" s="22" t="str">
        <x:v>SUPPLIED_TODAY_ORIGINAL</x:v>
      </x:c>
      <x:c r="P16" s="22" t="str">
        <x:v>Docs/AssetCatalog/sourceassets_file_ledger.jsonl</x:v>
      </x:c>
      <x:c r="Q16" s="22" t="str">
        <x:v>Intake copy: SourceAssets/Candidate/WeldShop/VacuumPanelPickEOAT_Intake_v001/Authority/GenerateTextureBranch/Meshy_AI_Industrial_Vacuum_Lif_0812065446_generate.blend</x:v>
      </x:c>
    </x:row>
    <x:row r="17">
      <x:c r="A17" s="22" t="str">
        <x:v>SRC-TODAY-012</x:v>
      </x:c>
      <x:c r="B17" s="22" t="str">
        <x:v>LB_VACUUM_PANEL_PICK_EOAT_INTAKE_V001</x:v>
      </x:c>
      <x:c r="C17" s="22" t="str">
        <x:v>Meshy_AI_Industrial_Vacuum_Lif_0812065509_texture.blend</x:v>
      </x:c>
      <x:c r="D17" s="22" t="str">
        <x:v>C:/Users/greg_/Downloads/Meshy_AI_Industrial_Vacuum_Lif_0812065509_texture.blend</x:v>
      </x:c>
      <x:c r="E17" s="22" t="str">
        <x:v>.blend</x:v>
      </x:c>
      <x:c r="F17" s="22" t="str">
        <x:v>2AD0E53C1A65EF4F881858A47F68C180B2DE310762A06E1C3FB438535667F064</x:v>
      </x:c>
      <x:c r="G17" s="25" t="n">
        <x:v>276481617</x:v>
      </x:c>
      <x:c r="H17" s="24" t="n">
        <x:v>46246.28851846065</x:v>
      </x:c>
      <x:c r="I17" s="22" t="str">
        <x:v>texture</x:v>
      </x:c>
      <x:c r="J17" s="22" t="str">
        <x:v>WeldShop</x:v>
      </x:c>
      <x:c r="K17" s="22" t="str">
        <x:v>CONCEPT_PASS_EXACT_BLOCKED</x:v>
      </x:c>
      <x:c r="L17" s="22" t="str">
        <x:v>REFERENCE_ONLY_RUNTIME_BLOCKED</x:v>
      </x:c>
      <x:c r="M17" s="22" t="str"/>
      <x:c r="N17" s="22" t="str">
        <x:v>Rebuild from six visible cups to the specified eight, with flange root, arm pivots, contact sockets, collision and LODs.</x:v>
      </x:c>
      <x:c r="O17" s="22" t="str">
        <x:v>SUPPLIED_TODAY_ORIGINAL</x:v>
      </x:c>
      <x:c r="P17" s="22" t="str">
        <x:v>Docs/AssetCatalog/sourceassets_file_ledger.jsonl</x:v>
      </x:c>
      <x:c r="Q17" s="22" t="str">
        <x:v>Intake copy: SourceAssets/Candidate/WeldShop/VacuumPanelPickEOAT_Intake_v001/Authority/GenerateTextureBranch/Meshy_AI_Industrial_Vacuum_Lif_0812065509_texture.blend</x:v>
      </x:c>
    </x:row>
    <x:row r="18">
      <x:c r="A18" s="22" t="str">
        <x:v>SRC-TODAY-013</x:v>
      </x:c>
      <x:c r="B18" s="22" t="str">
        <x:v>LB_VACUUM_PANEL_PICK_EOAT_INTAKE_V001</x:v>
      </x:c>
      <x:c r="C18" s="22" t="str">
        <x:v>Meshy_AI__0812065500_part-segmentation.blend</x:v>
      </x:c>
      <x:c r="D18" s="22" t="str">
        <x:v>C:/Users/greg_/Downloads/Meshy_AI__0812065500_part-segmentation.blend</x:v>
      </x:c>
      <x:c r="E18" s="22" t="str">
        <x:v>.blend</x:v>
      </x:c>
      <x:c r="F18" s="22" t="str">
        <x:v>2DACE09B2C2B2320B6552026A7F2EA7EDC2C9AD0CB34E59A89B5961CB9DA9EFB</x:v>
      </x:c>
      <x:c r="G18" s="25" t="n">
        <x:v>234658329</x:v>
      </x:c>
      <x:c r="H18" s="24" t="n">
        <x:v>46246.2886855787</x:v>
      </x:c>
      <x:c r="I18" s="22" t="str">
        <x:v>part-segmentation</x:v>
      </x:c>
      <x:c r="J18" s="22" t="str">
        <x:v>WeldShop</x:v>
      </x:c>
      <x:c r="K18" s="22" t="str">
        <x:v>CONCEPT_PASS_EXACT_BLOCKED</x:v>
      </x:c>
      <x:c r="L18" s="22" t="str">
        <x:v>REFERENCE_ONLY_RUNTIME_BLOCKED</x:v>
      </x:c>
      <x:c r="M18" s="22" t="str"/>
      <x:c r="N18" s="22" t="str">
        <x:v>Rebuild from six visible cups to the specified eight, with flange root, arm pivots, contact sockets, collision and LODs.</x:v>
      </x:c>
      <x:c r="O18" s="22" t="str">
        <x:v>SUPPLIED_TODAY_ORIGINAL</x:v>
      </x:c>
      <x:c r="P18" s="22" t="str">
        <x:v>Docs/AssetCatalog/sourceassets_file_ledger.jsonl</x:v>
      </x:c>
      <x:c r="Q18" s="22" t="str">
        <x:v>Intake copy: SourceAssets/Candidate/WeldShop/VacuumPanelPickEOAT_Intake_v001/Authority/UnverifiedSegmentationBranch/Meshy_AI__0812065500_part-segmentation.blend</x:v>
      </x:c>
    </x:row>
    <x:row r="19">
      <x:c r="A19" s="22" t="str">
        <x:v>SRC-TODAY-014</x:v>
      </x:c>
      <x:c r="B19" s="22" t="str">
        <x:v>LB_PANEL_STILLAGE_THREE_HIGH_INTAKE_V001</x:v>
      </x:c>
      <x:c r="C19" s="22" t="str">
        <x:v>Meshy_AI_Industrial_Adjustable_0812065855_generate.blend</x:v>
      </x:c>
      <x:c r="D19" s="22" t="str">
        <x:v>C:/Users/greg_/Downloads/Meshy_AI_Industrial_Adjustable_0812065855_generate.blend</x:v>
      </x:c>
      <x:c r="E19" s="22" t="str">
        <x:v>.blend</x:v>
      </x:c>
      <x:c r="F19" s="22" t="str">
        <x:v>D17690B2EC50E143A251CDCFB3E59832DA216337542F9476C182A85991FBB709</x:v>
      </x:c>
      <x:c r="G19" s="25" t="n">
        <x:v>153184155</x:v>
      </x:c>
      <x:c r="H19" s="24" t="n">
        <x:v>46246.29104430556</x:v>
      </x:c>
      <x:c r="I19" s="22" t="str">
        <x:v>generate</x:v>
      </x:c>
      <x:c r="J19" s="22" t="str">
        <x:v>WeldShop/Logistics</x:v>
      </x:c>
      <x:c r="K19" s="22" t="str">
        <x:v>PASS</x:v>
      </x:c>
      <x:c r="L19" s="22" t="str">
        <x:v>REFERENCE_ONLY_RUNTIME_BLOCKED</x:v>
      </x:c>
      <x:c r="M19" s="22" t="str"/>
      <x:c r="N19" s="22" t="str">
        <x:v>Author one semantic stillage asset with payload state plus four top/bottom stack locators and validate three-high loaded physics.</x:v>
      </x:c>
      <x:c r="O19" s="22" t="str">
        <x:v>SUPPLIED_TODAY_ORIGINAL</x:v>
      </x:c>
      <x:c r="P19" s="22" t="str">
        <x:v>Docs/AssetCatalog/sourceassets_file_ledger.jsonl</x:v>
      </x:c>
      <x:c r="Q19" s="22" t="str">
        <x:v>Intake copy: SourceAssets/Candidate/WeldShop/PanelStillage_ThreeHigh_Intake_v001/Authority/GenerateTextureBranch/Meshy_AI_Industrial_Adjustable_0812065855_generate.blend</x:v>
      </x:c>
    </x:row>
    <x:row r="20">
      <x:c r="A20" s="22" t="str">
        <x:v>SRC-TODAY-015</x:v>
      </x:c>
      <x:c r="B20" s="22" t="str">
        <x:v>LB_PANEL_STILLAGE_THREE_HIGH_INTAKE_V001</x:v>
      </x:c>
      <x:c r="C20" s="22" t="str">
        <x:v>Meshy_AI_Industrial_Adjustable_0812070022_texture.blend</x:v>
      </x:c>
      <x:c r="D20" s="22" t="str">
        <x:v>C:/Users/greg_/Downloads/Meshy_AI_Industrial_Adjustable_0812070022_texture.blend</x:v>
      </x:c>
      <x:c r="E20" s="22" t="str">
        <x:v>.blend</x:v>
      </x:c>
      <x:c r="F20" s="22" t="str">
        <x:v>6443B6B34D104A65566E11B85656B00EFB5D2E30A895C9E5C074473802C12B8B</x:v>
      </x:c>
      <x:c r="G20" s="25" t="n">
        <x:v>271187619</x:v>
      </x:c>
      <x:c r="H20" s="24" t="n">
        <x:v>46246.29213722222</x:v>
      </x:c>
      <x:c r="I20" s="22" t="str">
        <x:v>texture</x:v>
      </x:c>
      <x:c r="J20" s="22" t="str">
        <x:v>WeldShop/Logistics</x:v>
      </x:c>
      <x:c r="K20" s="22" t="str">
        <x:v>PASS</x:v>
      </x:c>
      <x:c r="L20" s="22" t="str">
        <x:v>REFERENCE_ONLY_RUNTIME_BLOCKED</x:v>
      </x:c>
      <x:c r="M20" s="22" t="str"/>
      <x:c r="N20" s="22" t="str">
        <x:v>Author one semantic stillage asset with payload state plus four top/bottom stack locators and validate three-high loaded physics.</x:v>
      </x:c>
      <x:c r="O20" s="22" t="str">
        <x:v>SUPPLIED_TODAY_ORIGINAL</x:v>
      </x:c>
      <x:c r="P20" s="22" t="str">
        <x:v>Docs/AssetCatalog/sourceassets_file_ledger.jsonl</x:v>
      </x:c>
      <x:c r="Q20" s="22" t="str">
        <x:v>Intake copy: SourceAssets/Candidate/WeldShop/PanelStillage_ThreeHigh_Intake_v001/Authority/GenerateTextureBranch/Meshy_AI_Industrial_Adjustable_0812070022_texture.blend</x:v>
      </x:c>
    </x:row>
    <x:row r="21">
      <x:c r="A21" s="22" t="str">
        <x:v>SRC-TODAY-016</x:v>
      </x:c>
      <x:c r="B21" s="22" t="str">
        <x:v>LB_PANEL_STILLAGE_THREE_HIGH_INTAKE_V001</x:v>
      </x:c>
      <x:c r="C21" s="22" t="str">
        <x:v>Meshy_AI__0812065910_part-segmentation.blend</x:v>
      </x:c>
      <x:c r="D21" s="22" t="str">
        <x:v>C:/Users/greg_/Downloads/Meshy_AI__0812065910_part-segmentation.blend</x:v>
      </x:c>
      <x:c r="E21" s="22" t="str">
        <x:v>.blend</x:v>
      </x:c>
      <x:c r="F21" s="22" t="str">
        <x:v>AECD47080780AE7E80CD452F6E8E12D0476E4F1CC41D1EB2998EE2F85E02BF69</x:v>
      </x:c>
      <x:c r="G21" s="25" t="n">
        <x:v>237679187</x:v>
      </x:c>
      <x:c r="H21" s="24" t="n">
        <x:v>46246.29154932871</x:v>
      </x:c>
      <x:c r="I21" s="22" t="str">
        <x:v>part-segmentation</x:v>
      </x:c>
      <x:c r="J21" s="22" t="str">
        <x:v>WeldShop/Logistics</x:v>
      </x:c>
      <x:c r="K21" s="22" t="str">
        <x:v>PASS</x:v>
      </x:c>
      <x:c r="L21" s="22" t="str">
        <x:v>REFERENCE_ONLY_RUNTIME_BLOCKED</x:v>
      </x:c>
      <x:c r="M21" s="22" t="str"/>
      <x:c r="N21" s="22" t="str">
        <x:v>Author one semantic stillage asset with payload state plus four top/bottom stack locators and validate three-high loaded physics.</x:v>
      </x:c>
      <x:c r="O21" s="22" t="str">
        <x:v>SUPPLIED_TODAY_ORIGINAL</x:v>
      </x:c>
      <x:c r="P21" s="22" t="str">
        <x:v>Docs/AssetCatalog/sourceassets_file_ledger.jsonl</x:v>
      </x:c>
      <x:c r="Q21" s="22" t="str">
        <x:v>Intake copy: SourceAssets/Candidate/WeldShop/PanelStillage_ThreeHigh_Intake_v001/Authority/UnverifiedSegmentationBranch/Meshy_AI__0812065910_part-segmentation.blend</x:v>
      </x:c>
    </x:row>
    <x:row r="22">
      <x:c r="A22" s="22" t="str">
        <x:v>SRC-TODAY-017</x:v>
      </x:c>
      <x:c r="B22" s="22" t="str">
        <x:v>LB_SPOT_C_GUN_INTAKE_V002</x:v>
      </x:c>
      <x:c r="C22" s="22" t="str">
        <x:v>Meshy_AI_Industrial_Spot_Weldi_0812070409_texture.blend</x:v>
      </x:c>
      <x:c r="D22" s="22" t="str">
        <x:v>C:/Users/greg_/Downloads/Meshy_AI_Industrial_Spot_Weldi_0812070409_texture.blend</x:v>
      </x:c>
      <x:c r="E22" s="22" t="str">
        <x:v>.blend</x:v>
      </x:c>
      <x:c r="F22" s="22" t="str">
        <x:v>537F29C00318B4F7E641D88C9C53B391CC44371D418D13CDC1E4D28BB6F313DE</x:v>
      </x:c>
      <x:c r="G22" s="25" t="n">
        <x:v>277472052</x:v>
      </x:c>
      <x:c r="H22" s="24" t="n">
        <x:v>46246.294768148146</x:v>
      </x:c>
      <x:c r="I22" s="22" t="str">
        <x:v>texture</x:v>
      </x:c>
      <x:c r="J22" s="22" t="str">
        <x:v>WeldShop</x:v>
      </x:c>
      <x:c r="K22" s="22" t="str">
        <x:v>PASS</x:v>
      </x:c>
      <x:c r="L22" s="22" t="str">
        <x:v>REFERENCE_ONLY_RUNTIME_BLOCKED</x:v>
      </x:c>
      <x:c r="M22" s="22" t="str"/>
      <x:c r="N22" s="22" t="str">
        <x:v>Build optimized replaceable C-gun with flange/electrode sockets and servo slide; retain current tested v001 tool until clearance gate passes.</x:v>
      </x:c>
      <x:c r="O22" s="22" t="str">
        <x:v>SUPPLIED_TODAY_ORIGINAL</x:v>
      </x:c>
      <x:c r="P22" s="22" t="str">
        <x:v>Docs/AssetCatalog/sourceassets_file_ledger.jsonl</x:v>
      </x:c>
      <x:c r="Q22" s="22" t="str">
        <x:v>Intake copy: SourceAssets/Candidate/WeldShop/SpotRobot_v002/Authorities/TexturedBranch/Meshy_AI_Industrial_Spot_Weldi_0812070409_texture.blend</x:v>
      </x:c>
    </x:row>
    <x:row r="23">
      <x:c r="A23" s="22" t="str">
        <x:v>SRC-TODAY-018</x:v>
      </x:c>
      <x:c r="B23" s="22" t="str">
        <x:v>LB_SPOT_C_GUN_INTAKE_V002</x:v>
      </x:c>
      <x:c r="C23" s="22" t="str">
        <x:v>Meshy_AI__0812070354_part-segmentation.blend</x:v>
      </x:c>
      <x:c r="D23" s="22" t="str">
        <x:v>C:/Users/greg_/Downloads/Meshy_AI__0812070354_part-segmentation.blend</x:v>
      </x:c>
      <x:c r="E23" s="22" t="str">
        <x:v>.blend</x:v>
      </x:c>
      <x:c r="F23" s="22" t="str">
        <x:v>7FE66F32E6E987E87149330F0B08D652E0D222E3AFCAEB24A4B65C9585986F34</x:v>
      </x:c>
      <x:c r="G23" s="25" t="n">
        <x:v>238579780</x:v>
      </x:c>
      <x:c r="H23" s="24" t="n">
        <x:v>46246.29489596065</x:v>
      </x:c>
      <x:c r="I23" s="22" t="str">
        <x:v>part-segmentation</x:v>
      </x:c>
      <x:c r="J23" s="22" t="str">
        <x:v>WeldShop</x:v>
      </x:c>
      <x:c r="K23" s="22" t="str">
        <x:v>PASS</x:v>
      </x:c>
      <x:c r="L23" s="22" t="str">
        <x:v>REFERENCE_ONLY_RUNTIME_BLOCKED</x:v>
      </x:c>
      <x:c r="M23" s="22" t="str"/>
      <x:c r="N23" s="22" t="str">
        <x:v>Build optimized replaceable C-gun with flange/electrode sockets and servo slide; retain current tested v001 tool until clearance gate passes.</x:v>
      </x:c>
      <x:c r="O23" s="22" t="str">
        <x:v>SUPPLIED_TODAY_ORIGINAL</x:v>
      </x:c>
      <x:c r="P23" s="22" t="str">
        <x:v>Docs/AssetCatalog/sourceassets_file_ledger.jsonl</x:v>
      </x:c>
      <x:c r="Q23" s="22" t="str">
        <x:v>Intake copy: SourceAssets/Candidate/WeldShop/SpotRobot_v002/Authorities/UnverifiedSegmentationBranch/Meshy_AI__0812070354_part-segmentation.blend</x:v>
      </x:c>
    </x:row>
    <x:row r="24">
      <x:c r="A24" s="22" t="str">
        <x:v>SRC-TODAY-019</x:v>
      </x:c>
      <x:c r="B24" s="22" t="str">
        <x:v>LB_BODY_WELD_FRAMING_FIXTURE_INTAKE_V001</x:v>
      </x:c>
      <x:c r="C24" s="22" t="str">
        <x:v>Meshy_AI_Precision_Assembly_Fr_0812072702_generate.blend</x:v>
      </x:c>
      <x:c r="D24" s="22" t="str">
        <x:v>C:/Users/greg_/Downloads/Meshy_AI_Precision_Assembly_Fr_0812072702_generate.blend</x:v>
      </x:c>
      <x:c r="E24" s="22" t="str">
        <x:v>.blend</x:v>
      </x:c>
      <x:c r="F24" s="22" t="str">
        <x:v>46BF7D136B7F11F3538EFD9F9393766A0754F4B4475E73EF44BBBC9B8910053A</x:v>
      </x:c>
      <x:c r="G24" s="25" t="n">
        <x:v>148831826</x:v>
      </x:c>
      <x:c r="H24" s="24" t="n">
        <x:v>46246.31056951389</x:v>
      </x:c>
      <x:c r="I24" s="22" t="str">
        <x:v>generate</x:v>
      </x:c>
      <x:c r="J24" s="22" t="str">
        <x:v>WeldShop</x:v>
      </x:c>
      <x:c r="K24" s="22" t="str">
        <x:v>PASS</x:v>
      </x:c>
      <x:c r="L24" s="22" t="str">
        <x:v>REFERENCE_ONLY_RUNTIME_BLOCKED</x:v>
      </x:c>
      <x:c r="M24" s="22" t="str"/>
      <x:c r="N24" s="22" t="str">
        <x:v>Modular optimized rebuild with approved scale, towers/clamps/slides/pivots, collision and placement envelope.</x:v>
      </x:c>
      <x:c r="O24" s="22" t="str">
        <x:v>SUPPLIED_TODAY_ORIGINAL</x:v>
      </x:c>
      <x:c r="P24" s="22" t="str">
        <x:v>Docs/AssetCatalog/sourceassets_file_ledger.jsonl</x:v>
      </x:c>
      <x:c r="Q24" s="22" t="str">
        <x:v>Intake copy: SourceAssets/Candidate/WeldShop/BodyWeldFramingFixture_Intake_v001/Authority/GenerateTextureBranch/Meshy_AI_Precision_Assembly_Fr_0812072702_generate.blend</x:v>
      </x:c>
    </x:row>
    <x:row r="25">
      <x:c r="A25" s="22" t="str">
        <x:v>SRC-TODAY-020</x:v>
      </x:c>
      <x:c r="B25" s="22" t="str">
        <x:v>LB_BODY_WELD_FRAMING_FIXTURE_INTAKE_V001</x:v>
      </x:c>
      <x:c r="C25" s="22" t="str">
        <x:v>Meshy_AI_Precision_Assembly_Fr_0812072950_texture.blend</x:v>
      </x:c>
      <x:c r="D25" s="22" t="str">
        <x:v>C:/Users/greg_/Downloads/Meshy_AI_Precision_Assembly_Fr_0812072950_texture.blend</x:v>
      </x:c>
      <x:c r="E25" s="22" t="str">
        <x:v>.blend</x:v>
      </x:c>
      <x:c r="F25" s="22" t="str">
        <x:v>EA17E18A96E9C27E79488119AB59430862AD010B3450A1A6C9932C699BC4FEE6</x:v>
      </x:c>
      <x:c r="G25" s="25" t="n">
        <x:v>263113278</x:v>
      </x:c>
      <x:c r="H25" s="24" t="n">
        <x:v>46246.31283077546</x:v>
      </x:c>
      <x:c r="I25" s="22" t="str">
        <x:v>texture</x:v>
      </x:c>
      <x:c r="J25" s="22" t="str">
        <x:v>WeldShop</x:v>
      </x:c>
      <x:c r="K25" s="22" t="str">
        <x:v>PASS</x:v>
      </x:c>
      <x:c r="L25" s="22" t="str">
        <x:v>REFERENCE_ONLY_RUNTIME_BLOCKED</x:v>
      </x:c>
      <x:c r="M25" s="22" t="str"/>
      <x:c r="N25" s="22" t="str">
        <x:v>Modular optimized rebuild with approved scale, towers/clamps/slides/pivots, collision and placement envelope.</x:v>
      </x:c>
      <x:c r="O25" s="22" t="str">
        <x:v>SUPPLIED_TODAY_ORIGINAL</x:v>
      </x:c>
      <x:c r="P25" s="22" t="str">
        <x:v>Docs/AssetCatalog/sourceassets_file_ledger.jsonl</x:v>
      </x:c>
      <x:c r="Q25" s="22" t="str">
        <x:v>Intake copy: SourceAssets/Candidate/WeldShop/BodyWeldFramingFixture_Intake_v001/Authority/GenerateTextureBranch/Meshy_AI_Precision_Assembly_Fr_0812072950_texture.blend</x:v>
      </x:c>
    </x:row>
    <x:row r="26">
      <x:c r="A26" s="22" t="str">
        <x:v>SRC-TODAY-021</x:v>
      </x:c>
      <x:c r="B26" s="22" t="str">
        <x:v>LB_BODY_WELD_FRAMING_FIXTURE_INTAKE_V001</x:v>
      </x:c>
      <x:c r="C26" s="22" t="str">
        <x:v>Meshy_AI__0812072709_part-segmentation.blend</x:v>
      </x:c>
      <x:c r="D26" s="22" t="str">
        <x:v>C:/Users/greg_/Downloads/Meshy_AI__0812072709_part-segmentation.blend</x:v>
      </x:c>
      <x:c r="E26" s="22" t="str">
        <x:v>.blend</x:v>
      </x:c>
      <x:c r="F26" s="22" t="str">
        <x:v>14DEDF5D65384268B246E3DCDD4B49CCE7B765F8E92650C8BBBE20AAC006E01D</x:v>
      </x:c>
      <x:c r="G26" s="25" t="n">
        <x:v>227553114</x:v>
      </x:c>
      <x:c r="H26" s="24" t="n">
        <x:v>46246.31115234954</x:v>
      </x:c>
      <x:c r="I26" s="22" t="str">
        <x:v>part-segmentation</x:v>
      </x:c>
      <x:c r="J26" s="22" t="str">
        <x:v>WeldShop</x:v>
      </x:c>
      <x:c r="K26" s="22" t="str">
        <x:v>PASS</x:v>
      </x:c>
      <x:c r="L26" s="22" t="str">
        <x:v>REFERENCE_ONLY_RUNTIME_BLOCKED</x:v>
      </x:c>
      <x:c r="M26" s="22" t="str"/>
      <x:c r="N26" s="22" t="str">
        <x:v>Modular optimized rebuild with approved scale, towers/clamps/slides/pivots, collision and placement envelope.</x:v>
      </x:c>
      <x:c r="O26" s="22" t="str">
        <x:v>SUPPLIED_TODAY_ORIGINAL</x:v>
      </x:c>
      <x:c r="P26" s="22" t="str">
        <x:v>Docs/AssetCatalog/sourceassets_file_ledger.jsonl</x:v>
      </x:c>
      <x:c r="Q26" s="22" t="str">
        <x:v>Intake copy: SourceAssets/Candidate/WeldShop/BodyWeldFramingFixture_Intake_v001/Authority/UnverifiedSegmentationBranch/Meshy_AI__0812072709_part-segmentation.blend</x:v>
      </x:c>
    </x:row>
    <x:row r="27">
      <x:c r="A27" s="22" t="str">
        <x:v>SRC-AUTH-022</x:v>
      </x:c>
      <x:c r="B27" s="22" t="str">
        <x:v>LB_C2040_FINISHED_VEHICLE_VISUAL_INTAKE_V001</x:v>
      </x:c>
      <x:c r="C27" s="22" t="str">
        <x:v>Meshy_AI_Industrial_automotive_0812061432_texture.blend</x:v>
      </x:c>
      <x:c r="D27" s="22" t="str">
        <x:v>C:\Users\greg_\Projects\LineBossCarFactory_Unreal 5.8\SourceAssets\Candidate\Vehicles\Cairnwell2040\FinishedVehicleVisual_Intake_v001\Authority\GenerateTextureBranch\Meshy_AI_Industrial_automotive_0812061432_texture.blend</x:v>
      </x:c>
      <x:c r="E27" s="22" t="str">
        <x:v>.blend</x:v>
      </x:c>
      <x:c r="F27" s="22" t="str">
        <x:v>8D7657CDD92C85CD734D42BCA468E4C32E7C95B415489727022FFF00CC3D5C5A</x:v>
      </x:c>
      <x:c r="G27" s="25" t="n">
        <x:v>178161842</x:v>
      </x:c>
      <x:c r="H27" s="24" t="n">
        <x:v>46246.26025467592</x:v>
      </x:c>
      <x:c r="I27" s="22" t="str">
        <x:v>PRIMARY_AUTHORITY</x:v>
      </x:c>
      <x:c r="J27" s="22" t="str">
        <x:v>Vehicles/Cairnwell2040</x:v>
      </x:c>
      <x:c r="K27" s="22" t="str">
        <x:v>PASS</x:v>
      </x:c>
      <x:c r="L27" s="22" t="str">
        <x:v>REFERENCE_ONLY_RUNTIME_BLOCKED</x:v>
      </x:c>
      <x:c r="M27" s="22" t="str"/>
      <x:c r="N27" s="22" t="str">
        <x:v>Use only as completed-vehicle visual reference; rebuild semantic optimized vehicle modules if gameplay requires a finished car.</x:v>
      </x:c>
      <x:c r="O27" s="22" t="str">
        <x:v>CURATED_PRIMARY_AUTHORITY</x:v>
      </x:c>
      <x:c r="P27" s="22" t="str">
        <x:v>Docs/AssetCatalog/sourceassets_file_ledger.jsonl</x:v>
      </x:c>
      <x:c r="Q27" s="22" t="str">
        <x:v>Manifest: SourceAssets/Candidate/Vehicles/Cairnwell2040/FinishedVehicleVisual_Intake_v001/MANIFEST_v001.json; Audit: SourceAssets/Candidate/Vehicles/Cairnwell2040/FinishedVehicleVisual_Intake_v001/Audit/FINISHED_VEHICLE_VISUAL_AUDIT_v001.md</x:v>
      </x:c>
    </x:row>
    <x:row r="28">
      <x:c r="A28" s="22" t="str">
        <x:v>SRC-AUTH-023</x:v>
      </x:c>
      <x:c r="B28" s="22" t="str">
        <x:v>LB_C2040_CHASSIS_FRAME_UNDERBODY_INTAKE_V001</x:v>
      </x:c>
      <x:c r="C28" s="22" t="str">
        <x:v>Meshy_AI_Automotive_Chassis_Fr_0812064832_texture.blend</x:v>
      </x:c>
      <x:c r="D28" s="22" t="str">
        <x:v>C:\Users\greg_\Projects\LineBossCarFactory_Unreal 5.8\SourceAssets\Candidate\Vehicles\Cairnwell2040\ChassisFrameUnderbody_Intake_v001\Authority\BranchA_GenerateTexture\Meshy_AI_Automotive_Chassis_Fr_0812064832_texture.blend</x:v>
      </x:c>
      <x:c r="E28" s="22" t="str">
        <x:v>.blend</x:v>
      </x:c>
      <x:c r="F28" s="22" t="str">
        <x:v>D6F6668A8460457E4AC3D3B89E994A8E4FB003E46B5CB9EF6DE4B2B95D101D29</x:v>
      </x:c>
      <x:c r="G28" s="25" t="n">
        <x:v>273701815</x:v>
      </x:c>
      <x:c r="H28" s="24" t="n">
        <x:v>46246.283923020834</x:v>
      </x:c>
      <x:c r="I28" s="22" t="str">
        <x:v>PRIMARY_AUTHORITY</x:v>
      </x:c>
      <x:c r="J28" s="22" t="str">
        <x:v>Vehicles/Cairnwell2040</x:v>
      </x:c>
      <x:c r="K28" s="22" t="str">
        <x:v>PASS</x:v>
      </x:c>
      <x:c r="L28" s="22" t="str">
        <x:v>REFERENCE_ONLY_RUNTIME_BLOCKED</x:v>
      </x:c>
      <x:c r="M28" s="22" t="str"/>
      <x:c r="N28" s="22" t="str">
        <x:v>Use 4813 only as a visual split reference: its 20 generic objects do not establish a verified semantic body-versus-skid split. Rebuild semantic underbody groups and a genuinely separate skid; both segmentation alternates fail lineage to the coherent generate/texture branch.</x:v>
      </x:c>
      <x:c r="O28" s="22" t="str">
        <x:v>CURATED_PRIMARY_AUTHORITY</x:v>
      </x:c>
      <x:c r="P28" s="22" t="str">
        <x:v>Docs/AssetCatalog/sourceassets_file_ledger.jsonl</x:v>
      </x:c>
      <x:c r="Q28" s="22" t="str">
        <x:v>Manifest: SourceAssets/Candidate/Vehicles/Cairnwell2040/ChassisFrameUnderbody_Intake_v001/MANIFEST_v001.json; Audit: SourceAssets/Candidate/Vehicles/Cairnwell2040/ChassisFrameUnderbody_Intake_v001/Audit/CHASSIS_FRAME_UNDERBODY_AUDIT_v001.md</x:v>
      </x:c>
    </x:row>
    <x:row r="29">
      <x:c r="A29" s="22" t="str">
        <x:v>SRC-AUTH-024</x:v>
      </x:c>
      <x:c r="B29" s="22" t="str">
        <x:v>LB_VISION_QUALITY_GATE_INTAKE_V001</x:v>
      </x:c>
      <x:c r="C29" s="22" t="str">
        <x:v>Meshy_AI_Industrial_Vision_Gat_0812065138_texture.blend</x:v>
      </x:c>
      <x:c r="D29" s="22" t="str">
        <x:v>C:\Users\greg_\Projects\LineBossCarFactory_Unreal 5.8\SourceAssets\Candidate\WeldShop\VisionQualityGate_Intake_v001\Authority\GenerateTextureBranch\Meshy_AI_Industrial_Vision_Gat_0812065138_texture.blend</x:v>
      </x:c>
      <x:c r="E29" s="22" t="str">
        <x:v>.blend</x:v>
      </x:c>
      <x:c r="F29" s="22" t="str">
        <x:v>31C592800E448018E7388F089AFE73FFC7456B34982F3C0A03CFB3BB678EC254</x:v>
      </x:c>
      <x:c r="G29" s="25" t="n">
        <x:v>273679749</x:v>
      </x:c>
      <x:c r="H29" s="24" t="n">
        <x:v>46246.28607650463</x:v>
      </x:c>
      <x:c r="I29" s="22" t="str">
        <x:v>PRIMARY_AUTHORITY</x:v>
      </x:c>
      <x:c r="J29" s="22" t="str">
        <x:v>WeldShop</x:v>
      </x:c>
      <x:c r="K29" s="22" t="str">
        <x:v>PASS</x:v>
      </x:c>
      <x:c r="L29" s="22" t="str">
        <x:v>REFERENCE_ONLY_RUNTIME_BLOCKED</x:v>
      </x:c>
      <x:c r="M29" s="22" t="str"/>
      <x:c r="N29" s="22" t="str">
        <x:v>Modular rebuild at approved 4.5 x 1.2 x 3.2 m envelope with aimed scanner heads and gameplay trigger.</x:v>
      </x:c>
      <x:c r="O29" s="22" t="str">
        <x:v>CURATED_PRIMARY_AUTHORITY</x:v>
      </x:c>
      <x:c r="P29" s="22" t="str">
        <x:v>Docs/AssetCatalog/sourceassets_file_ledger.jsonl</x:v>
      </x:c>
      <x:c r="Q29" s="22" t="str">
        <x:v>Manifest: SourceAssets/Candidate/WeldShop/VisionQualityGate_Intake_v001/MANIFEST_v001.json; Audit: SourceAssets/Candidate/WeldShop/VisionQualityGate_Intake_v001/Audit/VISION_QUALITY_GATE_AUDIT_v001.md</x:v>
      </x:c>
    </x:row>
    <x:row r="30">
      <x:c r="A30" s="22" t="str">
        <x:v>SRC-AUTH-025</x:v>
      </x:c>
      <x:c r="B30" s="22" t="str">
        <x:v>LB_VACUUM_PANEL_PICK_EOAT_INTAKE_V001</x:v>
      </x:c>
      <x:c r="C30" s="22" t="str">
        <x:v>Meshy_AI_Industrial_Vacuum_Lif_0812065509_texture.blend</x:v>
      </x:c>
      <x:c r="D30" s="22" t="str">
        <x:v>C:\Users\greg_\Projects\LineBossCarFactory_Unreal 5.8\SourceAssets\Candidate\WeldShop\VacuumPanelPickEOAT_Intake_v001\Authority\GenerateTextureBranch\Meshy_AI_Industrial_Vacuum_Lif_0812065509_texture.blend</x:v>
      </x:c>
      <x:c r="E30" s="22" t="str">
        <x:v>.blend</x:v>
      </x:c>
      <x:c r="F30" s="22" t="str">
        <x:v>2AD0E53C1A65EF4F881858A47F68C180B2DE310762A06E1C3FB438535667F064</x:v>
      </x:c>
      <x:c r="G30" s="25" t="n">
        <x:v>276481617</x:v>
      </x:c>
      <x:c r="H30" s="24" t="n">
        <x:v>46246.28851846065</x:v>
      </x:c>
      <x:c r="I30" s="22" t="str">
        <x:v>PRIMARY_AUTHORITY</x:v>
      </x:c>
      <x:c r="J30" s="22" t="str">
        <x:v>WeldShop</x:v>
      </x:c>
      <x:c r="K30" s="22" t="str">
        <x:v>CONCEPT_PASS_EXACT_BLOCKED</x:v>
      </x:c>
      <x:c r="L30" s="22" t="str">
        <x:v>REFERENCE_ONLY_RUNTIME_BLOCKED</x:v>
      </x:c>
      <x:c r="M30" s="22" t="str"/>
      <x:c r="N30" s="22" t="str">
        <x:v>Rebuild from six visible cups to the specified eight, with flange root, arm pivots, contact sockets, collision and LODs.</x:v>
      </x:c>
      <x:c r="O30" s="22" t="str">
        <x:v>CURATED_PRIMARY_AUTHORITY</x:v>
      </x:c>
      <x:c r="P30" s="22" t="str">
        <x:v>Docs/AssetCatalog/sourceassets_file_ledger.jsonl</x:v>
      </x:c>
      <x:c r="Q30" s="22" t="str">
        <x:v>Manifest: SourceAssets/Candidate/WeldShop/VacuumPanelPickEOAT_Intake_v001/MANIFEST_v001.json; Audit: SourceAssets/Candidate/WeldShop/VacuumPanelPickEOAT_Intake_v001/Audit/VACUUM_PANEL_PICK_EOAT_AUDIT_v001.md</x:v>
      </x:c>
    </x:row>
    <x:row r="31">
      <x:c r="A31" s="22" t="str">
        <x:v>SRC-AUTH-026</x:v>
      </x:c>
      <x:c r="B31" s="22" t="str">
        <x:v>LB_PANEL_STILLAGE_THREE_HIGH_INTAKE_V001</x:v>
      </x:c>
      <x:c r="C31" s="22" t="str">
        <x:v>Meshy_AI_Industrial_Adjustable_0812070022_texture.blend</x:v>
      </x:c>
      <x:c r="D31" s="22" t="str">
        <x:v>C:\Users\greg_\Projects\LineBossCarFactory_Unreal 5.8\SourceAssets\Candidate\WeldShop\PanelStillage_ThreeHigh_Intake_v001\Authority\GenerateTextureBranch\Meshy_AI_Industrial_Adjustable_0812070022_texture.blend</x:v>
      </x:c>
      <x:c r="E31" s="22" t="str">
        <x:v>.blend</x:v>
      </x:c>
      <x:c r="F31" s="22" t="str">
        <x:v>6443B6B34D104A65566E11B85656B00EFB5D2E30A895C9E5C074473802C12B8B</x:v>
      </x:c>
      <x:c r="G31" s="25" t="n">
        <x:v>271187619</x:v>
      </x:c>
      <x:c r="H31" s="24" t="n">
        <x:v>46246.29213722222</x:v>
      </x:c>
      <x:c r="I31" s="22" t="str">
        <x:v>PRIMARY_AUTHORITY</x:v>
      </x:c>
      <x:c r="J31" s="22" t="str">
        <x:v>WeldShop/Logistics</x:v>
      </x:c>
      <x:c r="K31" s="22" t="str">
        <x:v>PASS</x:v>
      </x:c>
      <x:c r="L31" s="22" t="str">
        <x:v>REFERENCE_ONLY_RUNTIME_BLOCKED</x:v>
      </x:c>
      <x:c r="M31" s="22" t="str"/>
      <x:c r="N31" s="22" t="str">
        <x:v>Author one semantic stillage asset with payload state plus four top/bottom stack locators and validate three-high loaded physics.</x:v>
      </x:c>
      <x:c r="O31" s="22" t="str">
        <x:v>CURATED_PRIMARY_AUTHORITY</x:v>
      </x:c>
      <x:c r="P31" s="22" t="str">
        <x:v>Docs/AssetCatalog/sourceassets_file_ledger.jsonl</x:v>
      </x:c>
      <x:c r="Q31" s="22" t="str">
        <x:v>Manifest: SourceAssets/Candidate/WeldShop/PanelStillage_ThreeHigh_Intake_v001/MANIFEST_v001.json; Audit: SourceAssets/Candidate/WeldShop/PanelStillage_ThreeHigh_Intake_v001/Audit/PANEL_STILLAGE_AUDIT_v001.md</x:v>
      </x:c>
    </x:row>
    <x:row r="32">
      <x:c r="A32" s="22" t="str">
        <x:v>SRC-AUTH-027</x:v>
      </x:c>
      <x:c r="B32" s="22" t="str">
        <x:v>LB_SPOT_C_GUN_INTAKE_V002</x:v>
      </x:c>
      <x:c r="C32" s="22" t="str">
        <x:v>Meshy_AI_Industrial_Spot_Weldi_0812070409_texture.blend</x:v>
      </x:c>
      <x:c r="D32" s="22" t="str">
        <x:v>C:\Users\greg_\Projects\LineBossCarFactory_Unreal 5.8\SourceAssets\Candidate\WeldShop\SpotRobot_v002\Authorities\TexturedBranch\Meshy_AI_Industrial_Spot_Weldi_0812070409_texture.blend</x:v>
      </x:c>
      <x:c r="E32" s="22" t="str">
        <x:v>.blend</x:v>
      </x:c>
      <x:c r="F32" s="22" t="str">
        <x:v>537F29C00318B4F7E641D88C9C53B391CC44371D418D13CDC1E4D28BB6F313DE</x:v>
      </x:c>
      <x:c r="G32" s="25" t="n">
        <x:v>277472052</x:v>
      </x:c>
      <x:c r="H32" s="24" t="n">
        <x:v>46246.294768148146</x:v>
      </x:c>
      <x:c r="I32" s="22" t="str">
        <x:v>PRIMARY_AUTHORITY</x:v>
      </x:c>
      <x:c r="J32" s="22" t="str">
        <x:v>WeldShop</x:v>
      </x:c>
      <x:c r="K32" s="22" t="str">
        <x:v>PASS</x:v>
      </x:c>
      <x:c r="L32" s="22" t="str">
        <x:v>REFERENCE_ONLY_RUNTIME_BLOCKED</x:v>
      </x:c>
      <x:c r="M32" s="22" t="str"/>
      <x:c r="N32" s="22" t="str">
        <x:v>Build optimized replaceable C-gun with flange/electrode sockets and servo slide; retain current tested v001 tool until clearance gate passes.</x:v>
      </x:c>
      <x:c r="O32" s="22" t="str">
        <x:v>CURATED_PRIMARY_AUTHORITY</x:v>
      </x:c>
      <x:c r="P32" s="22" t="str">
        <x:v>Docs/AssetCatalog/sourceassets_file_ledger.jsonl</x:v>
      </x:c>
      <x:c r="Q32" s="22" t="str">
        <x:v>Manifest: SourceAssets/Candidate/WeldShop/SpotRobot_v002/MANIFEST_v002.json; Audit: SourceAssets/Candidate/WeldShop/SpotRobot_v002/Audit/SPOT_C_GUN_AUDIT_v002.md</x:v>
      </x:c>
    </x:row>
    <x:row r="33">
      <x:c r="A33" s="22" t="str">
        <x:v>SRC-AUTH-028</x:v>
      </x:c>
      <x:c r="B33" s="22" t="str">
        <x:v>LB_BODY_WELD_FRAMING_FIXTURE_INTAKE_V001</x:v>
      </x:c>
      <x:c r="C33" s="22" t="str">
        <x:v>Meshy_AI_Precision_Assembly_Fr_0812072950_texture.blend</x:v>
      </x:c>
      <x:c r="D33" s="22" t="str">
        <x:v>C:\Users\greg_\Projects\LineBossCarFactory_Unreal 5.8\SourceAssets\Candidate\WeldShop\BodyWeldFramingFixture_Intake_v001\Authority\GenerateTextureBranch\Meshy_AI_Precision_Assembly_Fr_0812072950_texture.blend</x:v>
      </x:c>
      <x:c r="E33" s="22" t="str">
        <x:v>.blend</x:v>
      </x:c>
      <x:c r="F33" s="22" t="str">
        <x:v>EA17E18A96E9C27E79488119AB59430862AD010B3450A1A6C9932C699BC4FEE6</x:v>
      </x:c>
      <x:c r="G33" s="25" t="n">
        <x:v>263113278</x:v>
      </x:c>
      <x:c r="H33" s="24" t="n">
        <x:v>46246.31283077546</x:v>
      </x:c>
      <x:c r="I33" s="22" t="str">
        <x:v>PRIMARY_AUTHORITY</x:v>
      </x:c>
      <x:c r="J33" s="22" t="str">
        <x:v>WeldShop</x:v>
      </x:c>
      <x:c r="K33" s="22" t="str">
        <x:v>PASS</x:v>
      </x:c>
      <x:c r="L33" s="22" t="str">
        <x:v>REFERENCE_ONLY_RUNTIME_BLOCKED</x:v>
      </x:c>
      <x:c r="M33" s="22" t="str"/>
      <x:c r="N33" s="22" t="str">
        <x:v>Modular optimized rebuild with approved scale, towers/clamps/slides/pivots, collision and placement envelope.</x:v>
      </x:c>
      <x:c r="O33" s="22" t="str">
        <x:v>CURATED_PRIMARY_AUTHORITY</x:v>
      </x:c>
      <x:c r="P33" s="22" t="str">
        <x:v>Docs/AssetCatalog/sourceassets_file_ledger.jsonl</x:v>
      </x:c>
      <x:c r="Q33" s="22" t="str">
        <x:v>Manifest: SourceAssets/Candidate/WeldShop/BodyWeldFramingFixture_Intake_v001/MANIFEST_v001.json; Audit: SourceAssets/Candidate/WeldShop/BodyWeldFramingFixture_Intake_v001/Audit/BODY_WELD_FRAMING_FIXTURE_AUDIT_v001.md</x:v>
      </x:c>
    </x:row>
    <x:row r="34">
      <x:c r="A34" s="22" t="str">
        <x:v>SRC-AUTH-029</x:v>
      </x:c>
      <x:c r="B34" s="22" t="str">
        <x:v>LB_WELD_ROBOT_RUNTIME_V001</x:v>
      </x:c>
      <x:c r="C34" s="22" t="str">
        <x:v>LB_WeldRobotRuntime_v001.blend</x:v>
      </x:c>
      <x:c r="D34" s="22" t="str">
        <x:v>C:\Users\greg_\Projects\LineBossCarFactory_Unreal 5.8\SourceAssets\Candidate\WeldShop\WeldRobotRuntime_v001\Working\LB_WeldRobotRuntime_v001.blend</x:v>
      </x:c>
      <x:c r="E34" s="22" t="str">
        <x:v>.blend</x:v>
      </x:c>
      <x:c r="F34" s="22" t="str">
        <x:v>7CE226330E126D02BD2FAE96EF45863A5FB4C8265F936D70730A5BED21DC39BA</x:v>
      </x:c>
      <x:c r="G34" s="25" t="n">
        <x:v>19167004</x:v>
      </x:c>
      <x:c r="H34" s="24" t="n">
        <x:v>46246.280450162034</x:v>
      </x:c>
      <x:c r="I34" s="22" t="str">
        <x:v>PRIMARY_AUTHORITY</x:v>
      </x:c>
      <x:c r="J34" s="22" t="str">
        <x:v>WeldShop</x:v>
      </x:c>
      <x:c r="K34" s="22" t="str">
        <x:v>PASS</x:v>
      </x:c>
      <x:c r="L34" s="22" t="str">
        <x:v>RUNTIME_CANDIDATE_NOT_IMPORTED</x:v>
      </x:c>
      <x:c r="M34" s="22" t="str"/>
      <x:c r="N34" s="22" t="str">
        <x:v>Import and validate in Unreal; later replace procedural panel-pick/C-gun heads only after new optimized tools pass.</x:v>
      </x:c>
      <x:c r="O34" s="22" t="str">
        <x:v>CURATED_PRIMARY_AUTHORITY</x:v>
      </x:c>
      <x:c r="P34" s="22" t="str">
        <x:v>Docs/AssetCatalog/sourceassets_file_ledger.jsonl</x:v>
      </x:c>
      <x:c r="Q34" s="22" t="str">
        <x:v>Manifest: SourceAssets/Candidate/WeldShop/WeldRobotRuntime_v001/Audit/implementation_manifest_v001.json; Audit: SourceAssets/Candidate/WeldShop/WeldRobotRuntime_v001/Audit/master_validation_v001.json</x:v>
      </x:c>
    </x:row>
    <x:row r="35">
      <x:c r="A35" s="22" t="str">
        <x:v>SRC-AUTH-030</x:v>
      </x:c>
      <x:c r="B35" s="22" t="str">
        <x:v>LB_POWERED_CONVEYOR_V001</x:v>
      </x:c>
      <x:c r="C35" s="22" t="str">
        <x:v>LB_PoweredConveyor_ModularKit_v001.blend</x:v>
      </x:c>
      <x:c r="D35" s="22" t="str">
        <x:v>C:\Users\greg_\Projects\LineBossCarFactory_Unreal 5.8\SourceAssets\Candidate\FactoryLogistics\PoweredConveyor_v001\Working\LB_PoweredConveyor_ModularKit_v001.blend</x:v>
      </x:c>
      <x:c r="E35" s="22" t="str">
        <x:v>.blend</x:v>
      </x:c>
      <x:c r="F35" s="22" t="str">
        <x:v>0F9A0D75081B52AFE54E284F480B4B9B5B49DEB48AD528D640E17097BD0AD7B1</x:v>
      </x:c>
      <x:c r="G35" s="25" t="n">
        <x:v>200634</x:v>
      </x:c>
      <x:c r="H35" s="24" t="n">
        <x:v>46245.80676965278</x:v>
      </x:c>
      <x:c r="I35" s="22" t="str">
        <x:v>PRIMARY_AUTHORITY</x:v>
      </x:c>
      <x:c r="J35" s="22" t="str">
        <x:v>FactoryLogistics</x:v>
      </x:c>
      <x:c r="K35" s="22" t="str">
        <x:v>PASS</x:v>
      </x:c>
      <x:c r="L35" s="22" t="str">
        <x:v>RUNTIME_CANDIDATE_NOT_IMPORTED</x:v>
      </x:c>
      <x:c r="M35" s="22" t="str"/>
      <x:c r="N35" s="22" t="str">
        <x:v>Root-clearance and Unreal import/animation validation.</x:v>
      </x:c>
      <x:c r="O35" s="22" t="str">
        <x:v>CURATED_PRIMARY_AUTHORITY</x:v>
      </x:c>
      <x:c r="P35" s="22" t="str">
        <x:v>Docs/AssetCatalog/sourceassets_file_ledger.jsonl</x:v>
      </x:c>
      <x:c r="Q35" s="22" t="str">
        <x:v>Manifest: SourceAssets/Candidate/FactoryLogistics/PoweredConveyor_v001/manifest.json; Audit: SourceAssets/Candidate/FactoryLogistics/PoweredConveyor_v001/Audit/roundtrip_validation.json</x:v>
      </x:c>
    </x:row>
    <x:row r="36">
      <x:c r="A36" s="22" t="str">
        <x:v>SRC-AUTH-031</x:v>
      </x:c>
      <x:c r="B36" s="22" t="str">
        <x:v>LB_COMPACT_FORKLIFT_AGV_V003</x:v>
      </x:c>
      <x:c r="C36" s="22" t="str">
        <x:v>CFAGV_ModularMast_v003.blend</x:v>
      </x:c>
      <x:c r="D36" s="22" t="str">
        <x:v>C:\Users\greg_\Projects\LineBossCarFactory_Unreal 5.8\SourceAssets\Candidate\Logistics\CompactForkliftAGV\Working\CFAGV_ModularMast_v003.blend</x:v>
      </x:c>
      <x:c r="E36" s="22" t="str">
        <x:v>.blend</x:v>
      </x:c>
      <x:c r="F36" s="22" t="str">
        <x:v>48EE5DA57F83FD12E1B67BAA35F5B2DC672AA0D5886C46849A0E16D1D30E9F0C</x:v>
      </x:c>
      <x:c r="G36" s="25" t="n">
        <x:v>70828112</x:v>
      </x:c>
      <x:c r="H36" s="24" t="n">
        <x:v>46245.2985206713</x:v>
      </x:c>
      <x:c r="I36" s="22" t="str">
        <x:v>PRIMARY_AUTHORITY</x:v>
      </x:c>
      <x:c r="J36" s="22" t="str">
        <x:v>Logistics</x:v>
      </x:c>
      <x:c r="K36" s="22" t="str">
        <x:v>PASS</x:v>
      </x:c>
      <x:c r="L36" s="22" t="str">
        <x:v>RUNTIME_CANDIDATE_NOT_IMPORTED</x:v>
      </x:c>
      <x:c r="M36" s="22" t="str"/>
      <x:c r="N36" s="22" t="str">
        <x:v>Unreal import and rear-wheel-steering/mast/fork gameplay validation.</x:v>
      </x:c>
      <x:c r="O36" s="22" t="str">
        <x:v>CURATED_PRIMARY_AUTHORITY</x:v>
      </x:c>
      <x:c r="P36" s="22" t="str">
        <x:v>Docs/AssetCatalog/sourceassets_file_ledger.jsonl</x:v>
      </x:c>
      <x:c r="Q36" s="22" t="str">
        <x:v>Manifest: SourceAssets/Candidate/Logistics/CompactForkliftAGV/Audit/implementation_manifest_v003.json; Audit: SourceAssets/Candidate/Logistics/CompactForkliftAGV/Audit/candidate_v003_inspection.json</x:v>
      </x:c>
    </x:row>
    <x:row r="37">
      <x:c r="A37" s="22" t="str">
        <x:v>SRC-AUTH-032</x:v>
      </x:c>
      <x:c r="B37" s="22" t="str">
        <x:v>LB_FINISHED_PANEL_STILLAGE_V004</x:v>
      </x:c>
      <x:c r="C37" s="22" t="str">
        <x:v>FP_STILLAGE_ModularGuides_v004.blend</x:v>
      </x:c>
      <x:c r="D37" s="22" t="str">
        <x:v>C:\Users\greg_\Projects\LineBossCarFactory_Unreal 5.8\SourceAssets\Candidate\PressShop\FinishedPanelStillage\Working\FP_STILLAGE_ModularGuides_v004.blend</x:v>
      </x:c>
      <x:c r="E37" s="22" t="str">
        <x:v>.blend</x:v>
      </x:c>
      <x:c r="F37" s="22" t="str">
        <x:v>AA47728A1951CB7AE7436441759BF0AEF3A95B507C764C48E5D5D51079183787</x:v>
      </x:c>
      <x:c r="G37" s="25" t="n">
        <x:v>69602843</x:v>
      </x:c>
      <x:c r="H37" s="24" t="n">
        <x:v>46245.27555222222</x:v>
      </x:c>
      <x:c r="I37" s="22" t="str">
        <x:v>PRIMARY_AUTHORITY</x:v>
      </x:c>
      <x:c r="J37" s="22" t="str">
        <x:v>PressShop/Logistics</x:v>
      </x:c>
      <x:c r="K37" s="22" t="str">
        <x:v>PASS</x:v>
      </x:c>
      <x:c r="L37" s="22" t="str">
        <x:v>RUNTIME_CANDIDATE_NOT_IMPORTED</x:v>
      </x:c>
      <x:c r="M37" s="22" t="str"/>
      <x:c r="N37" s="22" t="str">
        <x:v>Reconcile with new three-high same-empty/full stillage authority and validate stacking/payload state.</x:v>
      </x:c>
      <x:c r="O37" s="22" t="str">
        <x:v>CURATED_PRIMARY_AUTHORITY</x:v>
      </x:c>
      <x:c r="P37" s="22" t="str">
        <x:v>Docs/AssetCatalog/sourceassets_file_ledger.jsonl</x:v>
      </x:c>
      <x:c r="Q37" s="22" t="str">
        <x:v>Manifest: SourceAssets/Candidate/PressShop/FinishedPanelStillage/Audit/implementation_manifest_v004.json; Audit: SourceAssets/Candidate/PressShop/FinishedPanelStillage/Audit/UNREAL_PIPELINE_PREFLIGHT_v004.json</x:v>
      </x:c>
    </x:row>
    <x:row r="38">
      <x:c r="A38" s="22" t="str">
        <x:v>SRC-AUTH-033</x:v>
      </x:c>
      <x:c r="B38" s="22" t="str">
        <x:v>LB_COIL_AGV_CANDIDATE_V001</x:v>
      </x:c>
      <x:c r="C38" s="22" t="str">
        <x:v>LB_CoilAGV_Candidate_v001.blend</x:v>
      </x:c>
      <x:c r="D38" s="22" t="str">
        <x:v>C:\Users\greg_\Projects\LineBossCarFactory_Unreal 5.8\SourceAssets\IndustrialKit\MaterialHandling\CoilAGV\Candidate_v001\LB_CoilAGV_Candidate_v001.blend</x:v>
      </x:c>
      <x:c r="E38" s="22" t="str">
        <x:v>.blend</x:v>
      </x:c>
      <x:c r="F38" s="22" t="str">
        <x:v>D683FDFCB0976551705FB8B85C7897AA285FFF548E6F7258F56F300DA3D0971F</x:v>
      </x:c>
      <x:c r="G38" s="25" t="n">
        <x:v>1422125</x:v>
      </x:c>
      <x:c r="H38" s="24" t="n">
        <x:v>46239.79009226852</x:v>
      </x:c>
      <x:c r="I38" s="22" t="str">
        <x:v>PRIMARY_AUTHORITY</x:v>
      </x:c>
      <x:c r="J38" s="22" t="str">
        <x:v>PressShop/MaterialHandling</x:v>
      </x:c>
      <x:c r="K38" s="22" t="str">
        <x:v>PASS</x:v>
      </x:c>
      <x:c r="L38" s="22" t="str">
        <x:v>UNREAL_IMPORTED_CANDIDATE</x:v>
      </x:c>
      <x:c r="M38" s="22" t="str">
        <x:v>Content/LineBoss/IndustrialKit/MaterialHandling/CoilAGV/Candidate_v001</x:v>
      </x:c>
      <x:c r="N38" s="22" t="str">
        <x:v>Retain rear-wheel-steering gameplay contract and complete packaged visual/handling validation.</x:v>
      </x:c>
      <x:c r="O38" s="22" t="str">
        <x:v>CURATED_PRIMARY_AUTHORITY</x:v>
      </x:c>
      <x:c r="P38" s="22" t="str">
        <x:v>Docs/AssetCatalog/sourceassets_file_ledger.jsonl</x:v>
      </x:c>
      <x:c r="Q38" s="22" t="str">
        <x:v>Manifest: SourceAssets/IndustrialKit/MaterialHandling/CoilAGV/Candidate_v001/LB_CoilAGV_Candidate_v001_manifest.json; Audit: </x:v>
      </x:c>
    </x:row>
    <x:row r="39">
      <x:c r="A39" s="22" t="str">
        <x:v>SRC-AUTH-034</x:v>
      </x:c>
      <x:c r="B39" s="22" t="str">
        <x:v>LB_CR01_CLEANING_AMR</x:v>
      </x:c>
      <x:c r="C39" s="22" t="str">
        <x:v>LB_CR01_ScrubberSilhouetteCandidate_v059.blend</x:v>
      </x:c>
      <x:c r="D39" s="22" t="str">
        <x:v>C:\Users\greg_\Projects\LineBossCarFactory_Unreal 5.8\SourceAssets\Robots\LB_CR01_CleaningAMR\Blender\Candidate_v059\LB_CR01_ScrubberSilhouetteCandidate_v059.blend</x:v>
      </x:c>
      <x:c r="E39" s="22" t="str">
        <x:v>.blend</x:v>
      </x:c>
      <x:c r="F39" s="22" t="str">
        <x:v>D74AA958CD0B23ECAC022FFED14D0C1EE58B8899ACE989032510CE4131997F11</x:v>
      </x:c>
      <x:c r="G39" s="25" t="n">
        <x:v>1802980</x:v>
      </x:c>
      <x:c r="H39" s="24" t="n">
        <x:v>46237.608208645834</x:v>
      </x:c>
      <x:c r="I39" s="22" t="str">
        <x:v>PRIMARY_AUTHORITY</x:v>
      </x:c>
      <x:c r="J39" s="22" t="str">
        <x:v>SupportRobots</x:v>
      </x:c>
      <x:c r="K39" s="22" t="str">
        <x:v>PASS</x:v>
      </x:c>
      <x:c r="L39" s="22" t="str">
        <x:v>UNREAL_IMPORTED_CANDIDATE</x:v>
      </x:c>
      <x:c r="M39" s="22" t="str">
        <x:v>Content/LineBoss/Shared/SupportRobots/LB_CR01</x:v>
      </x:c>
      <x:c r="N39" s="22" t="str">
        <x:v>Promote one explicit release authority and finish brighter full-body repaint/lighting validation.</x:v>
      </x:c>
      <x:c r="O39" s="22" t="str">
        <x:v>CURATED_PRIMARY_AUTHORITY</x:v>
      </x:c>
      <x:c r="P39" s="22" t="str">
        <x:v>Docs/AssetCatalog/sourceassets_file_ledger.jsonl</x:v>
      </x:c>
      <x:c r="Q39" s="22" t="str">
        <x:v>Manifest: SourceAssets/Robots/LB_CR01_CleaningAMR/Validation/Candidate_v059/LB_CR01_UnrealChildStageManifest_v059.json; Audit: SourceAssets/Robots/LB_CR01_CleaningAMR/Validation/Candidate_v059/LB_CR01_UnrealChildStageManifest_v059.json</x:v>
      </x:c>
    </x:row>
    <x:row r="40">
      <x:c r="A40" s="22" t="str">
        <x:v>SRC-AUTH-035</x:v>
      </x:c>
      <x:c r="B40" s="22" t="str">
        <x:v>LB_MR01_MAINTENANCE_ROBOT</x:v>
      </x:c>
      <x:c r="C40" s="22" t="str">
        <x:v>LB_MR01_DockFitCandidate_v022.blend</x:v>
      </x:c>
      <x:c r="D40" s="22" t="str">
        <x:v>C:\Users\greg_\Projects\LineBossCarFactory_Unreal 5.8\SourceAssets\Robots\LB_MR01_MaintenanceRobot\Blender\Candidate_v022\LB_MR01_DockFitCandidate_v022.blend</x:v>
      </x:c>
      <x:c r="E40" s="22" t="str">
        <x:v>.blend</x:v>
      </x:c>
      <x:c r="F40" s="22" t="str">
        <x:v>432233FA43ACB2D67A2E58DE8110272032D10EB53A82AF5971F8ACD3E895EBE8</x:v>
      </x:c>
      <x:c r="G40" s="25" t="n">
        <x:v>7170898</x:v>
      </x:c>
      <x:c r="H40" s="24" t="n">
        <x:v>46240.69578645833</x:v>
      </x:c>
      <x:c r="I40" s="22" t="str">
        <x:v>PRIMARY_AUTHORITY</x:v>
      </x:c>
      <x:c r="J40" s="22" t="str">
        <x:v>SupportRobots</x:v>
      </x:c>
      <x:c r="K40" s="22" t="str">
        <x:v>PASS</x:v>
      </x:c>
      <x:c r="L40" s="22" t="str">
        <x:v>UNREAL_IMPORTED_CANDIDATE</x:v>
      </x:c>
      <x:c r="M40" s="22" t="str">
        <x:v>Content/LineBoss/Robots/Maintenance/MR01/Candidate_v022</x:v>
      </x:c>
      <x:c r="N40" s="22" t="str">
        <x:v>Promote one release authority and finish orange-helmet/brighter full-body treatment validation.</x:v>
      </x:c>
      <x:c r="O40" s="22" t="str">
        <x:v>CURATED_PRIMARY_AUTHORITY</x:v>
      </x:c>
      <x:c r="P40" s="22" t="str">
        <x:v>Docs/AssetCatalog/sourceassets_file_ledger.jsonl</x:v>
      </x:c>
      <x:c r="Q40" s="22" t="str">
        <x:v>Manifest: SourceAssets/Robots/LB_MR01_MaintenanceRobot/Validation/Candidate_v013/LB_MR01_RuggedExportCandidate_v013_EVIDENCE_MANIFEST.json; Audit: SourceAssets/Robots/LB_MR01_MaintenanceRobot/Data/AUTOMATED_PRESS_SHOP_MAINTENANCE_AUTHORITY_v001.json</x:v>
      </x:c>
    </x:row>
    <x:row r="41">
      <x:c r="A41" s="22" t="str">
        <x:v>SRC-AUTH-036</x:v>
      </x:c>
      <x:c r="B41" s="22" t="str">
        <x:v>LB_ED_LINE_RUNTIME_V001_V002</x:v>
      </x:c>
      <x:c r="C41" s="22" t="str">
        <x:v>EDLineRuntime_Candidate_v001</x:v>
      </x:c>
      <x:c r="D41" s="22" t="str">
        <x:v>C:\Users\greg_\Projects\LineBossCarFactory_Unreal 5.8\SourceAssets\Candidate\PaintShop\EDLineRuntime_Candidate_v001</x:v>
      </x:c>
      <x:c r="E41" s="22" t="str"/>
      <x:c r="F41" s="22" t="str"/>
      <x:c r="G41" s="25" t="n">
        <x:v>0</x:v>
      </x:c>
      <x:c r="H41" s="24" t="str"/>
      <x:c r="I41" s="22" t="str">
        <x:v>PRIMARY_AUTHORITY</x:v>
      </x:c>
      <x:c r="J41" s="22" t="str">
        <x:v>PaintShop</x:v>
      </x:c>
      <x:c r="K41" s="22" t="str">
        <x:v>PASS</x:v>
      </x:c>
      <x:c r="L41" s="22" t="str">
        <x:v>UNREAL_IMPORTED_CANDIDATE</x:v>
      </x:c>
      <x:c r="M41" s="22" t="str">
        <x:v>Content/LineBoss/Candidates/PaintShop/EDLine/Runtime_v001; Content/LineBoss/Candidates/PaintShop/EDLine/Runtime_v002</x:v>
      </x:c>
      <x:c r="N41" s="22" t="str">
        <x:v>Resolve v001/v002 promotion authority and packaged process-flow validation.</x:v>
      </x:c>
      <x:c r="O41" s="22" t="str">
        <x:v>CURATED_PRIMARY_AUTHORITY</x:v>
      </x:c>
      <x:c r="P41" s="22" t="str">
        <x:v>Docs/AssetCatalog/sourceassets_file_ledger.jsonl</x:v>
      </x:c>
      <x:c r="Q41" s="22" t="str">
        <x:v>Manifest: SourceAssets/Candidate/PaintShop/EDLineRuntime_Candidate_v001/modular_export_manifest_v001.json; Audit: SourceAssets/Candidate/PaintShop/EDLineAssembly/implementation_manifest.json</x:v>
      </x:c>
    </x:row>
    <x:row r="42">
      <x:c r="A42" s="22" t="str">
        <x:v>SRC-AUTH-037</x:v>
      </x:c>
      <x:c r="B42" s="22" t="str">
        <x:v>LB_PRESS_TRAIN_A_COMPLETE_V660</x:v>
      </x:c>
      <x:c r="C42" s="22" t="str">
        <x:v>CA_MW_PressTrainA_CompleteAssembly_v660.blend</x:v>
      </x:c>
      <x:c r="D42" s="22" t="str">
        <x:v>C:\Users\greg_\Projects\LineBossCarFactory_Unreal 5.8\SourceAssets\Candidate\PressTrains\TrainA\CompleteTrainAAssembly_v660\CA_MW_PressTrainA_CompleteAssembly_v660.blend</x:v>
      </x:c>
      <x:c r="E42" s="22" t="str">
        <x:v>.blend</x:v>
      </x:c>
      <x:c r="F42" s="22" t="str">
        <x:v>B7BB88608E3819CC8BEE69E8B0273D3CEA99E4B45E47A88BDCB8B91FE63398D5</x:v>
      </x:c>
      <x:c r="G42" s="25" t="n">
        <x:v>348073261</x:v>
      </x:c>
      <x:c r="H42" s="24" t="n">
        <x:v>46242.59983907407</x:v>
      </x:c>
      <x:c r="I42" s="22" t="str">
        <x:v>PRIMARY_AUTHORITY</x:v>
      </x:c>
      <x:c r="J42" s="22" t="str">
        <x:v>PressShop/PressTrains</x:v>
      </x:c>
      <x:c r="K42" s="22" t="str">
        <x:v>PASS</x:v>
      </x:c>
      <x:c r="L42" s="22" t="str">
        <x:v>CURATED_SOURCE_AUTHORITY</x:v>
      </x:c>
      <x:c r="M42" s="22" t="str">
        <x:v>Content/LineBoss/Developer/Validation/PressTrains/CompleteTrainA_v662</x:v>
      </x:c>
      <x:c r="N42" s="22" t="str">
        <x:v>Keep manifest as source authority; runtime build authority is governed separately by gameplay/placement systems.</x:v>
      </x:c>
      <x:c r="O42" s="22" t="str">
        <x:v>CURATED_PRIMARY_AUTHORITY</x:v>
      </x:c>
      <x:c r="P42" s="22" t="str">
        <x:v>Docs/AssetCatalog/sourceassets_file_ledger.jsonl</x:v>
      </x:c>
      <x:c r="Q42" s="22" t="str">
        <x:v>Manifest: SourceAssets/Candidate/PressTrains/TrainA/CompleteTrainAAssembly_v660/ASSEMBLY_MANIFEST_v660.json; Audit: </x:v>
      </x:c>
    </x:row>
    <x:row r="43">
      <x:c r="A43" s="22" t="str">
        <x:v>SRC-AUTH-038</x:v>
      </x:c>
      <x:c r="B43" s="22" t="str">
        <x:v>LB_PR004_ROBOTIC_DEPACK</x:v>
      </x:c>
      <x:c r="C43" s="22" t="str">
        <x:v>RoboticDepackRobot</x:v>
      </x:c>
      <x:c r="D43" s="22" t="str">
        <x:v>C:\Users\greg_\Projects\LineBossCarFactory_Unreal 5.8\SourceAssets\PR004\RoboticDepackRobot</x:v>
      </x:c>
      <x:c r="E43" s="22" t="str"/>
      <x:c r="F43" s="22" t="str"/>
      <x:c r="G43" s="25" t="n">
        <x:v>0</x:v>
      </x:c>
      <x:c r="H43" s="24" t="str"/>
      <x:c r="I43" s="22" t="str">
        <x:v>PRIMARY_AUTHORITY</x:v>
      </x:c>
      <x:c r="J43" s="22" t="str">
        <x:v>PressShop</x:v>
      </x:c>
      <x:c r="K43" s="22" t="str">
        <x:v>PASS</x:v>
      </x:c>
      <x:c r="L43" s="22" t="str">
        <x:v>CURATED_SOURCE_AUTHORITY</x:v>
      </x:c>
      <x:c r="M43" s="22" t="str"/>
      <x:c r="N43" s="22" t="str">
        <x:v>Track against current Press Shop runtime implementation.</x:v>
      </x:c>
      <x:c r="O43" s="22" t="str">
        <x:v>CURATED_PRIMARY_AUTHORITY</x:v>
      </x:c>
      <x:c r="P43" s="22" t="str">
        <x:v>Docs/AssetCatalog/sourceassets_file_ledger.jsonl</x:v>
      </x:c>
      <x:c r="Q43" s="22" t="str">
        <x:v>Manifest: SourceAssets/PR004/RoboticDepackRobot/pr004_robotic_depack_robot_candidate_v002_manifest.json; Audit: </x:v>
      </x:c>
    </x:row>
    <x:row r="44">
      <x:c r="A44" s="22" t="str">
        <x:v>SRC-AUTH-039</x:v>
      </x:c>
      <x:c r="B44" s="22" t="str">
        <x:v>LB_PR005_PAYOFF_COIL</x:v>
      </x:c>
      <x:c r="C44" s="22" t="str">
        <x:v>PayoffCoil</x:v>
      </x:c>
      <x:c r="D44" s="22" t="str">
        <x:v>C:\Users\greg_\Projects\LineBossCarFactory_Unreal 5.8\SourceAssets\PR005\PayoffCoil</x:v>
      </x:c>
      <x:c r="E44" s="22" t="str"/>
      <x:c r="F44" s="22" t="str"/>
      <x:c r="G44" s="25" t="n">
        <x:v>0</x:v>
      </x:c>
      <x:c r="H44" s="24" t="str"/>
      <x:c r="I44" s="22" t="str">
        <x:v>PRIMARY_AUTHORITY</x:v>
      </x:c>
      <x:c r="J44" s="22" t="str">
        <x:v>PressShop</x:v>
      </x:c>
      <x:c r="K44" s="22" t="str">
        <x:v>PASS</x:v>
      </x:c>
      <x:c r="L44" s="22" t="str">
        <x:v>CURATED_SOURCE_AUTHORITY</x:v>
      </x:c>
      <x:c r="M44" s="22" t="str"/>
      <x:c r="N44" s="22" t="str">
        <x:v>Keep related Headstock/Mandrel/PeelerThreader manifests linked through manifest index.</x:v>
      </x:c>
      <x:c r="O44" s="22" t="str">
        <x:v>CURATED_PRIMARY_AUTHORITY</x:v>
      </x:c>
      <x:c r="P44" s="22" t="str">
        <x:v>Docs/AssetCatalog/sourceassets_file_ledger.jsonl</x:v>
      </x:c>
      <x:c r="Q44" s="22" t="str">
        <x:v>Manifest: SourceAssets/PR005/PayoffCoil/module_manifest.json; Audit: </x:v>
      </x:c>
    </x:row>
    <x:row r="45">
      <x:c r="A45" s="22" t="str">
        <x:v>SRC-AUTH-040</x:v>
      </x:c>
      <x:c r="B45" s="22" t="str">
        <x:v>LB_PR006_PRECISION_LEVELLER</x:v>
      </x:c>
      <x:c r="C45" s="22" t="str">
        <x:v>PR006_PrecisionCassetteLeveller_Candidate_v001.blend</x:v>
      </x:c>
      <x:c r="D45" s="22" t="str">
        <x:v>C:\Users\greg_\Projects\LineBossCarFactory_Unreal 5.8\SourceAssets\PR006\PrecisionCassetteLeveller\Candidate_v001\PR006_PrecisionCassetteLeveller_Candidate_v001.blend</x:v>
      </x:c>
      <x:c r="E45" s="22" t="str">
        <x:v>.blend</x:v>
      </x:c>
      <x:c r="F45" s="22" t="str">
        <x:v>653F05F904EC24FDEC0EC3B8817512EF3EB13E596BEDFC96A4108E471D8A60A6</x:v>
      </x:c>
      <x:c r="G45" s="25" t="n">
        <x:v>980213</x:v>
      </x:c>
      <x:c r="H45" s="24" t="n">
        <x:v>46238.25439553241</x:v>
      </x:c>
      <x:c r="I45" s="22" t="str">
        <x:v>PRIMARY_AUTHORITY</x:v>
      </x:c>
      <x:c r="J45" s="22" t="str">
        <x:v>PressShop</x:v>
      </x:c>
      <x:c r="K45" s="22" t="str">
        <x:v>PASS</x:v>
      </x:c>
      <x:c r="L45" s="22" t="str">
        <x:v>CURATED_SOURCE_AUTHORITY</x:v>
      </x:c>
      <x:c r="M45" s="22" t="str"/>
      <x:c r="N45" s="22" t="str">
        <x:v>Track release-detail overlay and runtime implementation separately.</x:v>
      </x:c>
      <x:c r="O45" s="22" t="str">
        <x:v>CURATED_PRIMARY_AUTHORITY</x:v>
      </x:c>
      <x:c r="P45" s="22" t="str">
        <x:v>Docs/AssetCatalog/sourceassets_file_ledger.jsonl</x:v>
      </x:c>
      <x:c r="Q45" s="22" t="str">
        <x:v>Manifest: SourceAssets/PR006/PrecisionCassetteLeveller/Candidate_v001/pr006_precision_leveller_module_manifest_v001.json; Audit: SourceAssets/PR006/PrecisionCassetteLeveller/Candidate_v001/pr006_precision_leveller_source_audit_v001.json</x:v>
      </x:c>
    </x:row>
    <x:row r="46">
      <x:c r="A46" s="22" t="str">
        <x:v>SRC-AUTH-041</x:v>
      </x:c>
      <x:c r="B46" s="22" t="str">
        <x:v>LB_PR007_WASHER_LUBE</x:v>
      </x:c>
      <x:c r="C46" s="22" t="str">
        <x:v>Candidate_v001</x:v>
      </x:c>
      <x:c r="D46" s="22" t="str">
        <x:v>C:\Users\greg_\Projects\LineBossCarFactory_Unreal 5.8\SourceAssets\PR007\WasherLubeUnit\Candidate_v001</x:v>
      </x:c>
      <x:c r="E46" s="22" t="str"/>
      <x:c r="F46" s="22" t="str"/>
      <x:c r="G46" s="25" t="n">
        <x:v>0</x:v>
      </x:c>
      <x:c r="H46" s="24" t="str"/>
      <x:c r="I46" s="22" t="str">
        <x:v>PRIMARY_AUTHORITY</x:v>
      </x:c>
      <x:c r="J46" s="22" t="str">
        <x:v>PressShop</x:v>
      </x:c>
      <x:c r="K46" s="22" t="str">
        <x:v>PASS</x:v>
      </x:c>
      <x:c r="L46" s="22" t="str">
        <x:v>CURATED_SOURCE_AUTHORITY</x:v>
      </x:c>
      <x:c r="M46" s="22" t="str"/>
      <x:c r="N46" s="22" t="str">
        <x:v>Track release-detail authority and runtime implementation.</x:v>
      </x:c>
      <x:c r="O46" s="22" t="str">
        <x:v>CURATED_PRIMARY_AUTHORITY</x:v>
      </x:c>
      <x:c r="P46" s="22" t="str">
        <x:v>Docs/AssetCatalog/sourceassets_file_ledger.jsonl</x:v>
      </x:c>
      <x:c r="Q46" s="22" t="str">
        <x:v>Manifest: SourceAssets/PR007/WasherLubeUnit/Candidate_v001/pr007_washer_lube_module_manifest_v001.json; Audit: SourceAssets/PR007/WasherLubeUnit/Candidate_v001/pr007_washer_lube_source_audit_v001.json</x:v>
      </x:c>
    </x:row>
    <x:row r="47">
      <x:c r="A47" s="22" t="str">
        <x:v>SRC-AUTH-042</x:v>
      </x:c>
      <x:c r="B47" s="22" t="str">
        <x:v>LB_PR008_SERVO_BLANKING</x:v>
      </x:c>
      <x:c r="C47" s="22" t="str">
        <x:v>Candidate_v001</x:v>
      </x:c>
      <x:c r="D47" s="22" t="str">
        <x:v>C:\Users\greg_\Projects\LineBossCarFactory_Unreal 5.8\SourceAssets\PR008\ServoBlankingLine\Candidate_v001</x:v>
      </x:c>
      <x:c r="E47" s="22" t="str"/>
      <x:c r="F47" s="22" t="str"/>
      <x:c r="G47" s="25" t="n">
        <x:v>0</x:v>
      </x:c>
      <x:c r="H47" s="24" t="str"/>
      <x:c r="I47" s="22" t="str">
        <x:v>PRIMARY_AUTHORITY</x:v>
      </x:c>
      <x:c r="J47" s="22" t="str">
        <x:v>PressShop</x:v>
      </x:c>
      <x:c r="K47" s="22" t="str">
        <x:v>PASS</x:v>
      </x:c>
      <x:c r="L47" s="22" t="str">
        <x:v>CURATED_SOURCE_AUTHORITY</x:v>
      </x:c>
      <x:c r="M47" s="22" t="str"/>
      <x:c r="N47" s="22" t="str">
        <x:v>Keep detailed module manifests discoverable through manifest index.</x:v>
      </x:c>
      <x:c r="O47" s="22" t="str">
        <x:v>CURATED_PRIMARY_AUTHORITY</x:v>
      </x:c>
      <x:c r="P47" s="22" t="str">
        <x:v>Docs/AssetCatalog/sourceassets_file_ledger.jsonl</x:v>
      </x:c>
      <x:c r="Q47" s="22" t="str">
        <x:v>Manifest: SourceAssets/PR008/ServoBlankingLine/Candidate_v001/pr008_servo_blanking_module_manifest_v001.json; Audit: SourceAssets/PR008/ServoBlankingLine/Candidate_v001/pr008_servo_blanking_source_audit_v001.json</x:v>
      </x:c>
    </x:row>
    <x:row r="48">
      <x:c r="A48" s="22" t="str">
        <x:v>SRC-AUTH-043</x:v>
      </x:c>
      <x:c r="B48" s="22" t="str">
        <x:v>LB_PR009_AUTOMATED_BLANK_STACKER</x:v>
      </x:c>
      <x:c r="C48" s="22" t="str">
        <x:v>Candidate_v002</x:v>
      </x:c>
      <x:c r="D48" s="22" t="str">
        <x:v>C:\Users\greg_\Projects\LineBossCarFactory_Unreal 5.8\SourceAssets\PR009\AutomatedBlankStacker\Candidate_v002</x:v>
      </x:c>
      <x:c r="E48" s="22" t="str"/>
      <x:c r="F48" s="22" t="str"/>
      <x:c r="G48" s="25" t="n">
        <x:v>0</x:v>
      </x:c>
      <x:c r="H48" s="24" t="str"/>
      <x:c r="I48" s="22" t="str">
        <x:v>PRIMARY_AUTHORITY</x:v>
      </x:c>
      <x:c r="J48" s="22" t="str">
        <x:v>PressShop</x:v>
      </x:c>
      <x:c r="K48" s="22" t="str">
        <x:v>PASS</x:v>
      </x:c>
      <x:c r="L48" s="22" t="str">
        <x:v>CURATED_SOURCE_AUTHORITY</x:v>
      </x:c>
      <x:c r="M48" s="22" t="str"/>
      <x:c r="N48" s="22" t="str">
        <x:v>Track Unreal staging/promotion authority.</x:v>
      </x:c>
      <x:c r="O48" s="22" t="str">
        <x:v>CURATED_PRIMARY_AUTHORITY</x:v>
      </x:c>
      <x:c r="P48" s="22" t="str">
        <x:v>Docs/AssetCatalog/sourceassets_file_ledger.jsonl</x:v>
      </x:c>
      <x:c r="Q48" s="22" t="str">
        <x:v>Manifest: SourceAssets/PR009/AutomatedBlankStacker/Candidate_v002/CANONICAL_INTAKE_MANIFEST_v002.json; Audit: SourceAssets/PR009/AutomatedBlankStacker/Candidate_v002/09_HANDOFF_MANIFEST.json</x:v>
      </x:c>
    </x:row>
    <x:row r="49">
      <x:c r="A49" s="22" t="str">
        <x:v>SRC-AUTH-044</x:v>
      </x:c>
      <x:c r="B49" s="22" t="str">
        <x:v>LB_PR010_FOUR_LANE_BUFFER</x:v>
      </x:c>
      <x:c r="C49" s="22" t="str">
        <x:v>ReleaseArt_v103</x:v>
      </x:c>
      <x:c r="D49" s="22" t="str">
        <x:v>C:\Users\greg_\Projects\LineBossCarFactory_Unreal 5.8\SourceAssets\PR010\FourLaneBuffer\ReleaseArt_v103</x:v>
      </x:c>
      <x:c r="E49" s="22" t="str"/>
      <x:c r="F49" s="22" t="str"/>
      <x:c r="G49" s="25" t="n">
        <x:v>0</x:v>
      </x:c>
      <x:c r="H49" s="24" t="str"/>
      <x:c r="I49" s="22" t="str">
        <x:v>PRIMARY_AUTHORITY</x:v>
      </x:c>
      <x:c r="J49" s="22" t="str">
        <x:v>PressShop</x:v>
      </x:c>
      <x:c r="K49" s="22" t="str">
        <x:v>PASS</x:v>
      </x:c>
      <x:c r="L49" s="22" t="str">
        <x:v>CURATED_SOURCE_AUTHORITY</x:v>
      </x:c>
      <x:c r="M49" s="22" t="str"/>
      <x:c r="N49" s="22" t="str">
        <x:v>Maintain navigation/collision release gates and packaged validation.</x:v>
      </x:c>
      <x:c r="O49" s="22" t="str">
        <x:v>CURATED_PRIMARY_AUTHORITY</x:v>
      </x:c>
      <x:c r="P49" s="22" t="str">
        <x:v>Docs/AssetCatalog/sourceassets_file_ledger.jsonl</x:v>
      </x:c>
      <x:c r="Q49" s="22" t="str">
        <x:v>Manifest: SourceAssets/PR010/FourLaneBuffer/ReleaseArt_v103/PR010_RELEASE_ART_MANIFEST_v103.json; Audit: </x:v>
      </x:c>
    </x:row>
    <x:row r="50">
      <x:c r="A50" s="22" t="str">
        <x:v>SRC-AUTH-045</x:v>
      </x:c>
      <x:c r="B50" s="22" t="str">
        <x:v>LB_C2040_PANEL_RUNTIME_V001</x:v>
      </x:c>
      <x:c r="C50" s="22" t="str">
        <x:v>PanelRuntime_v001</x:v>
      </x:c>
      <x:c r="D50" s="22" t="str">
        <x:v>C:\Users\greg_\Projects\LineBossCarFactory_Unreal 5.8\SourceAssets\Candidate\Vehicles\Cairnwell2040\PanelRuntime_v001</x:v>
      </x:c>
      <x:c r="E50" s="22" t="str"/>
      <x:c r="F50" s="22" t="str"/>
      <x:c r="G50" s="25" t="n">
        <x:v>0</x:v>
      </x:c>
      <x:c r="H50" s="24" t="str"/>
      <x:c r="I50" s="22" t="str">
        <x:v>PRIMARY_AUTHORITY</x:v>
      </x:c>
      <x:c r="J50" s="22" t="str">
        <x:v>Vehicles/Cairnwell2040</x:v>
      </x:c>
      <x:c r="K50" s="22" t="str">
        <x:v>PASS</x:v>
      </x:c>
      <x:c r="L50" s="22" t="str">
        <x:v>UNREAL_IMPORTED_CANDIDATE</x:v>
      </x:c>
      <x:c r="M50" s="22" t="str">
        <x:v>Content/LineBoss/Candidates/Vehicles/Cairnwell2040/PanelRuntime_v001</x:v>
      </x:c>
      <x:c r="N50" s="22" t="str">
        <x:v>Fit and scale against approved lower-underbody and upper-BIW authorities.</x:v>
      </x:c>
      <x:c r="O50" s="22" t="str">
        <x:v>CURATED_PRIMARY_AUTHORITY</x:v>
      </x:c>
      <x:c r="P50" s="22" t="str">
        <x:v>Docs/AssetCatalog/sourceassets_file_ledger.jsonl</x:v>
      </x:c>
      <x:c r="Q50" s="22" t="str">
        <x:v>Manifest: SourceAssets/Candidate/Vehicles/Cairnwell2040/PanelRuntime_v001/MANIFEST_v001.json; Audit: SourceAssets/Candidate/Vehicles/Cairnwell2040/PanelRuntime_v001/Audit/FBX_REIMPORT_VALIDATION_v001.json</x:v>
      </x:c>
    </x:row>
    <x:row r="51">
      <x:c r="A51" s="23" t="str">
        <x:v>SRC-AUTH-046</x:v>
      </x:c>
      <x:c r="B51" s="23" t="str">
        <x:v>LB_CAIRNWELL_PRIMARY_BRAND_V001</x:v>
      </x:c>
      <x:c r="C51" s="23" t="str">
        <x:v>Cairnwell</x:v>
      </x:c>
      <x:c r="D51" s="23" t="str">
        <x:v>C:\Users\greg_\Projects\LineBossCarFactory_Unreal 5.8\SourceAssets\Brand\Cairnwell</x:v>
      </x:c>
      <x:c r="E51" s="23" t="str"/>
      <x:c r="F51" s="23" t="str"/>
      <x:c r="G51" s="28" t="n">
        <x:v>0</x:v>
      </x:c>
      <x:c r="H51" s="36" t="str"/>
      <x:c r="I51" s="23" t="str">
        <x:v>PRIMARY_AUTHORITY</x:v>
      </x:c>
      <x:c r="J51" s="23" t="str">
        <x:v>Brand</x:v>
      </x:c>
      <x:c r="K51" s="23" t="str">
        <x:v>PASS</x:v>
      </x:c>
      <x:c r="L51" s="23" t="str">
        <x:v>CURATED_SOURCE_AUTHORITY</x:v>
      </x:c>
      <x:c r="M51" s="23" t="str">
        <x:v>Content/LineBoss/Brand/Cairnwell</x:v>
      </x:c>
      <x:c r="N51" s="23" t="str">
        <x:v>Keep logo variants and UI use tied to brand authority document.</x:v>
      </x:c>
      <x:c r="O51" s="23" t="str">
        <x:v>CURATED_PRIMARY_AUTHORITY</x:v>
      </x:c>
      <x:c r="P51" s="23" t="str">
        <x:v>Docs/AssetCatalog/sourceassets_file_ledger.jsonl</x:v>
      </x:c>
      <x:c r="Q51" s="23" t="str">
        <x:v>Manifest: SourceAssets/Brand/Cairnwell/cairnwell_primary_logo_candidate_v001_manifest.json; Audit: </x:v>
      </x:c>
    </x:row>
  </x:sheetData>
  <x:mergeCells>
    <x:mergeCell ref="A1:Q1"/>
    <x:mergeCell ref="A2:Q2"/>
  </x:mergeCells>
  <x:conditionalFormatting sqref="L6:L51">
    <x:cfRule type="containsText" dxfId="7" priority="1" operator="containsText" text="REFERENCE_ONLY_RUNTIME_BLOCKED"/>
    <x:cfRule type="containsText" dxfId="8" priority="2" operator="containsText" text="RUNTIME_CANDIDATE_NOT_IMPORTED"/>
    <x:cfRule type="containsText" dxfId="9" priority="3" operator="containsText" text="UNREAL_IMPORTED_CANDIDATE"/>
    <x:cfRule type="containsText" dxfId="10" priority="4" operator="containsText" text="REJECTED_DO_NOT_USE"/>
    <x:cfRule type="containsText" dxfId="11" priority="5" operator="containsText" text="CURATED_SOURCE_AUTHORITY"/>
  </x:conditionalFormatting>
  <x:dataValidations count="1">
    <x:dataValidation type="list" sqref="L6:L51">
      <x:formula1>"REFERENCE_ONLY_RUNTIME_BLOCKED,RUNTIME_CANDIDATE_NOT_IMPORTED,UNREAL_IMPORTED_CANDIDATE,REJECTED_DO_NOT_USE,CURATED_SOURCE_AUTHORITY"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b323cb44b8547f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24" hidden="0" customWidth="1"/>
    <x:col min="4" max="4" width="24" hidden="0" customWidth="1"/>
    <x:col min="5" max="5" width="24" hidden="0" customWidth="1"/>
    <x:col min="6" max="6" width="42" hidden="0" customWidth="1"/>
    <x:col min="7" max="7" width="4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5" hidden="0" customWidth="1"/>
    <x:col min="15" max="15" width="38" hidden="0" customWidth="1"/>
    <x:col min="16" max="16" width="38" hidden="0" customWidth="1"/>
  </x:cols>
  <x:sheetData>
    <x:row r="1" ht="34" customHeight="1">
      <x:c r="A1" s="3" t="str">
        <x:v>LINE BOSS  |  Runtime Bindings</x:v>
      </x:c>
      <x:c r="B1" s="3" t="str">
        <x:v>LINE BOSS  |  Runtime Bindings</x:v>
      </x:c>
      <x:c r="C1" s="3" t="str">
        <x:v>LINE BOSS  |  Runtime Bindings</x:v>
      </x:c>
      <x:c r="D1" s="3" t="str">
        <x:v>LINE BOSS  |  Runtime Bindings</x:v>
      </x:c>
      <x:c r="E1" s="3" t="str">
        <x:v>LINE BOSS  |  Runtime Bindings</x:v>
      </x:c>
      <x:c r="F1" s="3" t="str">
        <x:v>LINE BOSS  |  Runtime Bindings</x:v>
      </x:c>
      <x:c r="G1" s="3" t="str">
        <x:v>LINE BOSS  |  Runtime Bindings</x:v>
      </x:c>
      <x:c r="H1" s="3" t="str">
        <x:v>LINE BOSS  |  Runtime Bindings</x:v>
      </x:c>
      <x:c r="I1" s="3" t="str">
        <x:v>LINE BOSS  |  Runtime Bindings</x:v>
      </x:c>
      <x:c r="J1" s="3" t="str">
        <x:v>LINE BOSS  |  Runtime Bindings</x:v>
      </x:c>
      <x:c r="K1" s="3" t="str">
        <x:v>LINE BOSS  |  Runtime Bindings</x:v>
      </x:c>
      <x:c r="L1" s="3" t="str">
        <x:v>LINE BOSS  |  Runtime Bindings</x:v>
      </x:c>
      <x:c r="M1" s="3" t="str">
        <x:v>LINE BOSS  |  Runtime Bindings</x:v>
      </x:c>
      <x:c r="N1" s="3" t="str">
        <x:v>LINE BOSS  |  Runtime Bindings</x:v>
      </x:c>
      <x:c r="O1" s="3" t="str">
        <x:v>LINE BOSS  |  Runtime Bindings</x:v>
      </x:c>
      <x:c r="P1" s="3" t="str">
        <x:v>LINE BOSS  |  Runtime Bindings</x:v>
      </x:c>
    </x:row>
    <x:row r="2" ht="27" customHeight="1">
      <x:c r="A2" s="8" t="str">
        <x:v>Trace each promoted source authority to its Unreal runtime asset, cook/package evidence and remaining blocker. A source file is not considered runtime-ready merely because it exists.</x:v>
      </x:c>
      <x:c r="B2" s="8" t="str">
        <x:v>Trace each promoted source authority to its Unreal runtime asset, cook/package evidence and remaining blocker. A source file is not considered runtime-ready merely because it exists.</x:v>
      </x:c>
      <x:c r="C2" s="8" t="str">
        <x:v>Trace each promoted source authority to its Unreal runtime asset, cook/package evidence and remaining blocker. A source file is not considered runtime-ready merely because it exists.</x:v>
      </x:c>
      <x:c r="D2" s="8" t="str">
        <x:v>Trace each promoted source authority to its Unreal runtime asset, cook/package evidence and remaining blocker. A source file is not considered runtime-ready merely because it exists.</x:v>
      </x:c>
      <x:c r="E2" s="8" t="str">
        <x:v>Trace each promoted source authority to its Unreal runtime asset, cook/package evidence and remaining blocker. A source file is not considered runtime-ready merely because it exists.</x:v>
      </x:c>
      <x:c r="F2" s="8" t="str">
        <x:v>Trace each promoted source authority to its Unreal runtime asset, cook/package evidence and remaining blocker. A source file is not considered runtime-ready merely because it exists.</x:v>
      </x:c>
      <x:c r="G2" s="8" t="str">
        <x:v>Trace each promoted source authority to its Unreal runtime asset, cook/package evidence and remaining blocker. A source file is not considered runtime-ready merely because it exists.</x:v>
      </x:c>
      <x:c r="H2" s="8" t="str">
        <x:v>Trace each promoted source authority to its Unreal runtime asset, cook/package evidence and remaining blocker. A source file is not considered runtime-ready merely because it exists.</x:v>
      </x:c>
      <x:c r="I2" s="8" t="str">
        <x:v>Trace each promoted source authority to its Unreal runtime asset, cook/package evidence and remaining blocker. A source file is not considered runtime-ready merely because it exists.</x:v>
      </x:c>
      <x:c r="J2" s="8" t="str">
        <x:v>Trace each promoted source authority to its Unreal runtime asset, cook/package evidence and remaining blocker. A source file is not considered runtime-ready merely because it exists.</x:v>
      </x:c>
      <x:c r="K2" s="8" t="str">
        <x:v>Trace each promoted source authority to its Unreal runtime asset, cook/package evidence and remaining blocker. A source file is not considered runtime-ready merely because it exists.</x:v>
      </x:c>
      <x:c r="L2" s="8" t="str">
        <x:v>Trace each promoted source authority to its Unreal runtime asset, cook/package evidence and remaining blocker. A source file is not considered runtime-ready merely because it exists.</x:v>
      </x:c>
      <x:c r="M2" s="8" t="str">
        <x:v>Trace each promoted source authority to its Unreal runtime asset, cook/package evidence and remaining blocker. A source file is not considered runtime-ready merely because it exists.</x:v>
      </x:c>
      <x:c r="N2" s="8" t="str">
        <x:v>Trace each promoted source authority to its Unreal runtime asset, cook/package evidence and remaining blocker. A source file is not considered runtime-ready merely because it exists.</x:v>
      </x:c>
      <x:c r="O2" s="8" t="str">
        <x:v>Trace each promoted source authority to its Unreal runtime asset, cook/package evidence and remaining blocker. A source file is not considered runtime-ready merely because it exists.</x:v>
      </x:c>
      <x:c r="P2" s="8" t="str">
        <x:v>Trace each promoted source authority to its Unreal runtime asset, cook/package evidence and remaining blocker. A source file is not considered runtime-ready merely because it exists.</x:v>
      </x:c>
    </x:row>
    <x:row r="5" ht="29" customHeight="1">
      <x:c r="A5" s="13" t="str">
        <x:v>Binding ID</x:v>
      </x:c>
      <x:c r="B5" s="13" t="str">
        <x:v>Family ID</x:v>
      </x:c>
      <x:c r="C5" s="13" t="str">
        <x:v>Asset Family</x:v>
      </x:c>
      <x:c r="D5" s="13" t="str">
        <x:v>Gameplay Role</x:v>
      </x:c>
      <x:c r="E5" s="13" t="str">
        <x:v>Shop / System</x:v>
      </x:c>
      <x:c r="F5" s="13" t="str">
        <x:v>Source Authority</x:v>
      </x:c>
      <x:c r="G5" s="13" t="str">
        <x:v>Unreal Runtime Path</x:v>
      </x:c>
      <x:c r="H5" s="13" t="str">
        <x:v>Binding Type</x:v>
      </x:c>
      <x:c r="I5" s="13" t="str">
        <x:v>Runtime State</x:v>
      </x:c>
      <x:c r="J5" s="13" t="str">
        <x:v>Audit Result</x:v>
      </x:c>
      <x:c r="K5" s="13" t="str">
        <x:v>Catalog Status</x:v>
      </x:c>
      <x:c r="L5" s="13" t="str">
        <x:v>Cooked?</x:v>
      </x:c>
      <x:c r="M5" s="13" t="str">
        <x:v>Package Test</x:v>
      </x:c>
      <x:c r="N5" s="13" t="str">
        <x:v>Last Verified</x:v>
      </x:c>
      <x:c r="O5" s="13" t="str">
        <x:v>Blocker / Next Action</x:v>
      </x:c>
      <x:c r="P5" s="13" t="str">
        <x:v>Notes</x:v>
      </x:c>
    </x:row>
    <x:row r="6">
      <x:c r="A6" s="21" t="str">
        <x:v>BIND-001</x:v>
      </x:c>
      <x:c r="B6" s="21" t="str">
        <x:v>LB_C2040_FINISHED_VEHICLE_VISUAL_INTAKE_V001</x:v>
      </x:c>
      <x:c r="C6" s="21" t="str">
        <x:v>Cairnwell 2040 finished crossover visual</x:v>
      </x:c>
      <x:c r="D6" s="21" t="str">
        <x:v>complete finished crossover appearance reference; explicitly not a skid or BIW</x:v>
      </x:c>
      <x:c r="E6" s="21" t="str">
        <x:v>Vehicles/Cairnwell2040</x:v>
      </x:c>
      <x:c r="F6" s="21" t="str">
        <x:v>SourceAssets/Candidate/Vehicles/Cairnwell2040/FinishedVehicleVisual_Intake_v001/Authority/GenerateTextureBranch/Meshy_AI_Industrial_automotive_0812061432_texture.blend</x:v>
      </x:c>
      <x:c r="G6" s="21" t="str"/>
      <x:c r="H6" s="21" t="str">
        <x:v>REFERENCE_ONLY_RUNTIME_BLOCKED</x:v>
      </x:c>
      <x:c r="I6" s="21" t="str">
        <x:v>NOT_IMPORTED</x:v>
      </x:c>
      <x:c r="J6" s="21" t="str">
        <x:v>PASS</x:v>
      </x:c>
      <x:c r="K6" s="21" t="str">
        <x:v>REFERENCE_ONLY_RUNTIME_BLOCKED</x:v>
      </x:c>
      <x:c r="L6" s="21" t="str"/>
      <x:c r="M6" s="21" t="str"/>
      <x:c r="N6" s="29" t="n">
        <x:v>46246</x:v>
      </x:c>
      <x:c r="O6" s="21" t="str">
        <x:v>Use only as completed-vehicle visual reference; rebuild semantic optimized vehicle modules if gameplay requires a finished car.</x:v>
      </x:c>
      <x:c r="P6" s="21" t="str">
        <x:v>Manifest: SourceAssets/Candidate/Vehicles/Cairnwell2040/FinishedVehicleVisual_Intake_v001/MANIFEST_v001.json</x:v>
      </x:c>
    </x:row>
    <x:row r="7">
      <x:c r="A7" s="22" t="str">
        <x:v>BIND-002</x:v>
      </x:c>
      <x:c r="B7" s="22" t="str">
        <x:v>LB_C2040_CHASSIS_FRAME_UNDERBODY_INTAKE_V001</x:v>
      </x:c>
      <x:c r="C7" s="22" t="str">
        <x:v>Cairnwell 2040 lower underbody and transport skid</x:v>
      </x:c>
      <x:c r="D7" s="22" t="str">
        <x:v>lower stamped underbody/base kit carried on a separate skid-like base; not a complete BIW</x:v>
      </x:c>
      <x:c r="E7" s="22" t="str">
        <x:v>Vehicles/Cairnwell2040</x:v>
      </x:c>
      <x:c r="F7" s="22" t="str">
        <x:v>SourceAssets/Candidate/Vehicles/Cairnwell2040/ChassisFrameUnderbody_Intake_v001/Authority/BranchA_GenerateTexture/Meshy_AI_Automotive_Chassis_Fr_0812064832_texture.blend</x:v>
      </x:c>
      <x:c r="G7" s="22" t="str"/>
      <x:c r="H7" s="22" t="str">
        <x:v>REFERENCE_ONLY_RUNTIME_BLOCKED</x:v>
      </x:c>
      <x:c r="I7" s="22" t="str">
        <x:v>NOT_IMPORTED</x:v>
      </x:c>
      <x:c r="J7" s="22" t="str">
        <x:v>PASS</x:v>
      </x:c>
      <x:c r="K7" s="22" t="str">
        <x:v>REFERENCE_ONLY_RUNTIME_BLOCKED</x:v>
      </x:c>
      <x:c r="L7" s="22" t="str"/>
      <x:c r="M7" s="22" t="str"/>
      <x:c r="N7" s="30" t="n">
        <x:v>46246</x:v>
      </x:c>
      <x:c r="O7" s="22" t="str">
        <x:v>Use 4813 only as a visual split reference: its 20 generic objects do not establish a verified semantic body-versus-skid split. Rebuild semantic underbody groups and a genuinely separate skid; both segmentation alternates fail lineage to the coherent generate/texture branch.</x:v>
      </x:c>
      <x:c r="P7" s="22" t="str">
        <x:v>Manifest: SourceAssets/Candidate/Vehicles/Cairnwell2040/ChassisFrameUnderbody_Intake_v001/MANIFEST_v001.json</x:v>
      </x:c>
    </x:row>
    <x:row r="8">
      <x:c r="A8" s="22" t="str">
        <x:v>BIND-003</x:v>
      </x:c>
      <x:c r="B8" s="22" t="str">
        <x:v>LB_VISION_QUALITY_GATE_INTAKE_V001</x:v>
      </x:c>
      <x:c r="C8" s="22" t="str">
        <x:v>Body geometry and quality inspection gate</x:v>
      </x:c>
      <x:c r="D8" s="22" t="str">
        <x:v>drive-through BIW vision/metrology gate</x:v>
      </x:c>
      <x:c r="E8" s="22" t="str">
        <x:v>WeldShop</x:v>
      </x:c>
      <x:c r="F8" s="22" t="str">
        <x:v>SourceAssets/Candidate/WeldShop/VisionQualityGate_Intake_v001/Authority/GenerateTextureBranch/Meshy_AI_Industrial_Vision_Gat_0812065138_texture.blend</x:v>
      </x:c>
      <x:c r="G8" s="22" t="str"/>
      <x:c r="H8" s="22" t="str">
        <x:v>REFERENCE_ONLY_RUNTIME_BLOCKED</x:v>
      </x:c>
      <x:c r="I8" s="22" t="str">
        <x:v>NOT_IMPORTED</x:v>
      </x:c>
      <x:c r="J8" s="22" t="str">
        <x:v>PASS</x:v>
      </x:c>
      <x:c r="K8" s="22" t="str">
        <x:v>REFERENCE_ONLY_RUNTIME_BLOCKED</x:v>
      </x:c>
      <x:c r="L8" s="22" t="str"/>
      <x:c r="M8" s="22" t="str"/>
      <x:c r="N8" s="30" t="n">
        <x:v>46246</x:v>
      </x:c>
      <x:c r="O8" s="22" t="str">
        <x:v>Modular rebuild at approved 4.5 x 1.2 x 3.2 m envelope with aimed scanner heads and gameplay trigger.</x:v>
      </x:c>
      <x:c r="P8" s="22" t="str">
        <x:v>Manifest: SourceAssets/Candidate/WeldShop/VisionQualityGate_Intake_v001/MANIFEST_v001.json</x:v>
      </x:c>
    </x:row>
    <x:row r="9">
      <x:c r="A9" s="22" t="str">
        <x:v>BIND-004</x:v>
      </x:c>
      <x:c r="B9" s="22" t="str">
        <x:v>LB_VACUUM_PANEL_PICK_EOAT_INTAKE_V001</x:v>
      </x:c>
      <x:c r="C9" s="22" t="str">
        <x:v>Universal vacuum panel-pick EOAT</x:v>
      </x:c>
      <x:c r="D9" s="22" t="str">
        <x:v>standalone automotive panel-pick vacuum end-effector</x:v>
      </x:c>
      <x:c r="E9" s="22" t="str">
        <x:v>WeldShop</x:v>
      </x:c>
      <x:c r="F9" s="22" t="str">
        <x:v>SourceAssets/Candidate/WeldShop/VacuumPanelPickEOAT_Intake_v001/Authority/GenerateTextureBranch/Meshy_AI_Industrial_Vacuum_Lif_0812065509_texture.blend</x:v>
      </x:c>
      <x:c r="G9" s="22" t="str"/>
      <x:c r="H9" s="22" t="str">
        <x:v>REFERENCE_ONLY_RUNTIME_BLOCKED</x:v>
      </x:c>
      <x:c r="I9" s="22" t="str">
        <x:v>NOT_IMPORTED</x:v>
      </x:c>
      <x:c r="J9" s="22" t="str">
        <x:v>CONCEPT_PASS_EXACT_BLOCKED</x:v>
      </x:c>
      <x:c r="K9" s="22" t="str">
        <x:v>REFERENCE_ONLY_RUNTIME_BLOCKED</x:v>
      </x:c>
      <x:c r="L9" s="22" t="str"/>
      <x:c r="M9" s="22" t="str"/>
      <x:c r="N9" s="30" t="n">
        <x:v>46246</x:v>
      </x:c>
      <x:c r="O9" s="22" t="str">
        <x:v>Rebuild from six visible cups to the specified eight, with flange root, arm pivots, contact sockets, collision and LODs.</x:v>
      </x:c>
      <x:c r="P9" s="22" t="str">
        <x:v>Manifest: SourceAssets/Candidate/WeldShop/VacuumPanelPickEOAT_Intake_v001/MANIFEST_v001.json</x:v>
      </x:c>
    </x:row>
    <x:row r="10">
      <x:c r="A10" s="22" t="str">
        <x:v>BIND-005</x:v>
      </x:c>
      <x:c r="B10" s="22" t="str">
        <x:v>LB_PANEL_STILLAGE_THREE_HIGH_INTAKE_V001</x:v>
      </x:c>
      <x:c r="C10" s="22" t="str">
        <x:v>Same-design empty/full three-high panel stillage</x:v>
      </x:c>
      <x:c r="D10" s="22" t="str">
        <x:v>stackable panel stillage</x:v>
      </x:c>
      <x:c r="E10" s="22" t="str">
        <x:v>WeldShop/Logistics</x:v>
      </x:c>
      <x:c r="F10" s="22" t="str">
        <x:v>SourceAssets/Candidate/WeldShop/PanelStillage_ThreeHigh_Intake_v001/Authority/GenerateTextureBranch/Meshy_AI_Industrial_Adjustable_0812070022_texture.blend</x:v>
      </x:c>
      <x:c r="G10" s="22" t="str"/>
      <x:c r="H10" s="22" t="str">
        <x:v>REFERENCE_ONLY_RUNTIME_BLOCKED</x:v>
      </x:c>
      <x:c r="I10" s="22" t="str">
        <x:v>NOT_IMPORTED</x:v>
      </x:c>
      <x:c r="J10" s="22" t="str">
        <x:v>PASS</x:v>
      </x:c>
      <x:c r="K10" s="22" t="str">
        <x:v>REFERENCE_ONLY_RUNTIME_BLOCKED</x:v>
      </x:c>
      <x:c r="L10" s="22" t="str"/>
      <x:c r="M10" s="22" t="str"/>
      <x:c r="N10" s="30" t="n">
        <x:v>46246</x:v>
      </x:c>
      <x:c r="O10" s="22" t="str">
        <x:v>Author one semantic stillage asset with payload state plus four top/bottom stack locators and validate three-high loaded physics.</x:v>
      </x:c>
      <x:c r="P10" s="22" t="str">
        <x:v>Manifest: SourceAssets/Candidate/WeldShop/PanelStillage_ThreeHigh_Intake_v001/MANIFEST_v001.json</x:v>
      </x:c>
    </x:row>
    <x:row r="11">
      <x:c r="A11" s="22" t="str">
        <x:v>BIND-006</x:v>
      </x:c>
      <x:c r="B11" s="22" t="str">
        <x:v>LB_SPOT_C_GUN_INTAKE_V002</x:v>
      </x:c>
      <x:c r="C11" s="22" t="str">
        <x:v>Standalone resistance spot-weld C-gun</x:v>
      </x:c>
      <x:c r="D11" s="22" t="str">
        <x:v>standalone spot-weld C-gun tool</x:v>
      </x:c>
      <x:c r="E11" s="22" t="str">
        <x:v>WeldShop</x:v>
      </x:c>
      <x:c r="F11" s="22" t="str">
        <x:v>SourceAssets/Candidate/WeldShop/SpotRobot_v002/Authorities/TexturedBranch/Meshy_AI_Industrial_Spot_Weldi_0812070409_texture.blend</x:v>
      </x:c>
      <x:c r="G11" s="22" t="str"/>
      <x:c r="H11" s="22" t="str">
        <x:v>REFERENCE_ONLY_RUNTIME_BLOCKED</x:v>
      </x:c>
      <x:c r="I11" s="22" t="str">
        <x:v>NOT_IMPORTED</x:v>
      </x:c>
      <x:c r="J11" s="22" t="str">
        <x:v>PASS</x:v>
      </x:c>
      <x:c r="K11" s="22" t="str">
        <x:v>REFERENCE_ONLY_RUNTIME_BLOCKED</x:v>
      </x:c>
      <x:c r="L11" s="22" t="str"/>
      <x:c r="M11" s="22" t="str"/>
      <x:c r="N11" s="30" t="n">
        <x:v>46246</x:v>
      </x:c>
      <x:c r="O11" s="22" t="str">
        <x:v>Build optimized replaceable C-gun with flange/electrode sockets and servo slide; retain current tested v001 tool until clearance gate passes.</x:v>
      </x:c>
      <x:c r="P11" s="22" t="str">
        <x:v>Manifest: SourceAssets/Candidate/WeldShop/SpotRobot_v002/MANIFEST_v002.json</x:v>
      </x:c>
    </x:row>
    <x:row r="12">
      <x:c r="A12" s="22" t="str">
        <x:v>BIND-007</x:v>
      </x:c>
      <x:c r="B12" s="22" t="str">
        <x:v>LB_BODY_WELD_FRAMING_FIXTURE_INTAKE_V001</x:v>
      </x:c>
      <x:c r="C12" s="22" t="str">
        <x:v>Cairnwell 2040 body-weld framing fixture</x:v>
      </x:c>
      <x:c r="D12" s="22" t="str">
        <x:v>empty BIW framing and geometry welding fixture</x:v>
      </x:c>
      <x:c r="E12" s="22" t="str">
        <x:v>WeldShop</x:v>
      </x:c>
      <x:c r="F12" s="22" t="str">
        <x:v>SourceAssets/Candidate/WeldShop/BodyWeldFramingFixture_Intake_v001/Authority/GenerateTextureBranch/Meshy_AI_Precision_Assembly_Fr_0812072950_texture.blend</x:v>
      </x:c>
      <x:c r="G12" s="22" t="str"/>
      <x:c r="H12" s="22" t="str">
        <x:v>REFERENCE_ONLY_RUNTIME_BLOCKED</x:v>
      </x:c>
      <x:c r="I12" s="22" t="str">
        <x:v>NOT_IMPORTED</x:v>
      </x:c>
      <x:c r="J12" s="22" t="str">
        <x:v>PASS</x:v>
      </x:c>
      <x:c r="K12" s="22" t="str">
        <x:v>REFERENCE_ONLY_RUNTIME_BLOCKED</x:v>
      </x:c>
      <x:c r="L12" s="22" t="str"/>
      <x:c r="M12" s="22" t="str"/>
      <x:c r="N12" s="30" t="n">
        <x:v>46246</x:v>
      </x:c>
      <x:c r="O12" s="22" t="str">
        <x:v>Modular optimized rebuild with approved scale, towers/clamps/slides/pivots, collision and placement envelope.</x:v>
      </x:c>
      <x:c r="P12" s="22" t="str">
        <x:v>Manifest: SourceAssets/Candidate/WeldShop/BodyWeldFramingFixture_Intake_v001/MANIFEST_v001.json</x:v>
      </x:c>
    </x:row>
    <x:row r="13">
      <x:c r="A13" s="22" t="str">
        <x:v>BIND-008</x:v>
      </x:c>
      <x:c r="B13" s="22" t="str">
        <x:v>LB_BODY_WELD_MESHY_TEXT_PREVIEW_V001</x:v>
      </x:c>
      <x:c r="C13" s="22" t="str">
        <x:v>Rejected Meshy body-weld text preview</x:v>
      </x:c>
      <x:c r="D13" s="22" t="str">
        <x:v>negative provenance only</x:v>
      </x:c>
      <x:c r="E13" s="22" t="str">
        <x:v>WeldShop</x:v>
      </x:c>
      <x:c r="F13" s="22" t="str"/>
      <x:c r="G13" s="22" t="str"/>
      <x:c r="H13" s="22" t="str">
        <x:v>REJECTED_DO_NOT_USE</x:v>
      </x:c>
      <x:c r="I13" s="22" t="str">
        <x:v>PROHIBITED</x:v>
      </x:c>
      <x:c r="J13" s="22" t="str">
        <x:v>REJECTED</x:v>
      </x:c>
      <x:c r="K13" s="22" t="str">
        <x:v>REJECTED_DO_NOT_USE</x:v>
      </x:c>
      <x:c r="L13" s="22" t="str"/>
      <x:c r="M13" s="22" t="str"/>
      <x:c r="N13" s="30" t="n">
        <x:v>46246</x:v>
      </x:c>
      <x:c r="O13" s="22" t="str">
        <x:v>Do not refine or import; it fused a finished car into a gantry and is superseded by the user-supplied Precision Assembly Frame family.</x:v>
      </x:c>
      <x:c r="P13" s="22" t="str">
        <x:v>Manifest: SourceAssets/Candidate/WeldShop/BodyWeldFramingFixture_MeshyTextPreview_v001/summary_v001.json</x:v>
      </x:c>
    </x:row>
    <x:row r="14">
      <x:c r="A14" s="22" t="str">
        <x:v>BIND-009</x:v>
      </x:c>
      <x:c r="B14" s="22" t="str">
        <x:v>LB_WELD_ROBOT_RUNTIME_V001</x:v>
      </x:c>
      <x:c r="C14" s="22" t="str">
        <x:v>Shared articulated weld robot and MIG/spot/panel-pick tools</x:v>
      </x:c>
      <x:c r="D14" s="22" t="str">
        <x:v>runtime-oriented shared robot platform</x:v>
      </x:c>
      <x:c r="E14" s="22" t="str">
        <x:v>WeldShop</x:v>
      </x:c>
      <x:c r="F14" s="22" t="str">
        <x:v>SourceAssets/Candidate/WeldShop/WeldRobotRuntime_v001/Working/LB_WeldRobotRuntime_v001.blend</x:v>
      </x:c>
      <x:c r="G14" s="22" t="str"/>
      <x:c r="H14" s="22" t="str">
        <x:v>RUNTIME_CANDIDATE_NOT_IMPORTED</x:v>
      </x:c>
      <x:c r="I14" s="22" t="str">
        <x:v>ROUND_TRIP_TESTED_NOT_UNREAL_APPROVED</x:v>
      </x:c>
      <x:c r="J14" s="22" t="str">
        <x:v>PASS</x:v>
      </x:c>
      <x:c r="K14" s="22" t="str">
        <x:v>RUNTIME_CANDIDATE_NOT_IMPORTED</x:v>
      </x:c>
      <x:c r="L14" s="22" t="str"/>
      <x:c r="M14" s="22" t="str"/>
      <x:c r="N14" s="30" t="n">
        <x:v>46246</x:v>
      </x:c>
      <x:c r="O14" s="22" t="str">
        <x:v>Import and validate in Unreal; later replace procedural panel-pick/C-gun heads only after new optimized tools pass.</x:v>
      </x:c>
      <x:c r="P14" s="22" t="str">
        <x:v>Manifest: SourceAssets/Candidate/WeldShop/WeldRobotRuntime_v001/Audit/implementation_manifest_v001.json</x:v>
      </x:c>
    </x:row>
    <x:row r="15">
      <x:c r="A15" s="22" t="str">
        <x:v>BIND-010</x:v>
      </x:c>
      <x:c r="B15" s="22" t="str">
        <x:v>LB_POWERED_CONVEYOR_V001</x:v>
      </x:c>
      <x:c r="C15" s="22" t="str">
        <x:v>Modular powered roller and belt conveyor kit</x:v>
      </x:c>
      <x:c r="D15" s="22" t="str">
        <x:v>modular powered conveyor</x:v>
      </x:c>
      <x:c r="E15" s="22" t="str">
        <x:v>FactoryLogistics</x:v>
      </x:c>
      <x:c r="F15" s="22" t="str">
        <x:v>SourceAssets/Candidate/FactoryLogistics/PoweredConveyor_v001/Working/LB_PoweredConveyor_ModularKit_v001.blend</x:v>
      </x:c>
      <x:c r="G15" s="22" t="str"/>
      <x:c r="H15" s="22" t="str">
        <x:v>RUNTIME_CANDIDATE_NOT_IMPORTED</x:v>
      </x:c>
      <x:c r="I15" s="22" t="str">
        <x:v>NOT_IMPORTED_ROOT_CLEARANCE_REQUIRED</x:v>
      </x:c>
      <x:c r="J15" s="22" t="str">
        <x:v>PASS</x:v>
      </x:c>
      <x:c r="K15" s="22" t="str">
        <x:v>RUNTIME_CANDIDATE_NOT_IMPORTED</x:v>
      </x:c>
      <x:c r="L15" s="22" t="str"/>
      <x:c r="M15" s="22" t="str"/>
      <x:c r="N15" s="30" t="n">
        <x:v>46246</x:v>
      </x:c>
      <x:c r="O15" s="22" t="str">
        <x:v>Root-clearance and Unreal import/animation validation.</x:v>
      </x:c>
      <x:c r="P15" s="22" t="str">
        <x:v>Manifest: SourceAssets/Candidate/FactoryLogistics/PoweredConveyor_v001/manifest.json</x:v>
      </x:c>
    </x:row>
    <x:row r="16">
      <x:c r="A16" s="22" t="str">
        <x:v>BIND-011</x:v>
      </x:c>
      <x:c r="B16" s="22" t="str">
        <x:v>LB_COMPACT_FORKLIFT_AGV_V003</x:v>
      </x:c>
      <x:c r="C16" s="22" t="str">
        <x:v>Compact FLT AGV</x:v>
      </x:c>
      <x:c r="D16" s="22" t="str">
        <x:v>forklift AGV with modular mast</x:v>
      </x:c>
      <x:c r="E16" s="22" t="str">
        <x:v>Logistics</x:v>
      </x:c>
      <x:c r="F16" s="22" t="str">
        <x:v>SourceAssets/Candidate/Logistics/CompactForkliftAGV/Working/CFAGV_ModularMast_v003.blend</x:v>
      </x:c>
      <x:c r="G16" s="22" t="str"/>
      <x:c r="H16" s="22" t="str">
        <x:v>RUNTIME_CANDIDATE_NOT_IMPORTED</x:v>
      </x:c>
      <x:c r="I16" s="22" t="str">
        <x:v>SOURCE_VALIDATED_UNREAL_UNVERIFIED</x:v>
      </x:c>
      <x:c r="J16" s="22" t="str">
        <x:v>PASS</x:v>
      </x:c>
      <x:c r="K16" s="22" t="str">
        <x:v>RUNTIME_CANDIDATE_NOT_IMPORTED</x:v>
      </x:c>
      <x:c r="L16" s="22" t="str"/>
      <x:c r="M16" s="22" t="str"/>
      <x:c r="N16" s="30" t="n">
        <x:v>46246</x:v>
      </x:c>
      <x:c r="O16" s="22" t="str">
        <x:v>Unreal import and rear-wheel-steering/mast/fork gameplay validation.</x:v>
      </x:c>
      <x:c r="P16" s="22" t="str">
        <x:v>Manifest: SourceAssets/Candidate/Logistics/CompactForkliftAGV/Audit/implementation_manifest_v003.json</x:v>
      </x:c>
    </x:row>
    <x:row r="17">
      <x:c r="A17" s="22" t="str">
        <x:v>BIND-012</x:v>
      </x:c>
      <x:c r="B17" s="22" t="str">
        <x:v>LB_FINISHED_PANEL_STILLAGE_V004</x:v>
      </x:c>
      <x:c r="C17" s="22" t="str">
        <x:v>Press-shop finished-panel stillage runtime candidate</x:v>
      </x:c>
      <x:c r="D17" s="22" t="str">
        <x:v>modular finished-panel stillage</x:v>
      </x:c>
      <x:c r="E17" s="22" t="str">
        <x:v>PressShop/Logistics</x:v>
      </x:c>
      <x:c r="F17" s="22" t="str">
        <x:v>SourceAssets/Candidate/PressShop/FinishedPanelStillage/Working/FP_STILLAGE_ModularGuides_v004.blend</x:v>
      </x:c>
      <x:c r="G17" s="22" t="str"/>
      <x:c r="H17" s="22" t="str">
        <x:v>RUNTIME_CANDIDATE_NOT_IMPORTED</x:v>
      </x:c>
      <x:c r="I17" s="22" t="str">
        <x:v>PREFLIGHTED_UNREAL_UNVERIFIED</x:v>
      </x:c>
      <x:c r="J17" s="22" t="str">
        <x:v>PASS</x:v>
      </x:c>
      <x:c r="K17" s="22" t="str">
        <x:v>RUNTIME_CANDIDATE_NOT_IMPORTED</x:v>
      </x:c>
      <x:c r="L17" s="22" t="str"/>
      <x:c r="M17" s="22" t="str"/>
      <x:c r="N17" s="30" t="n">
        <x:v>46246</x:v>
      </x:c>
      <x:c r="O17" s="22" t="str">
        <x:v>Reconcile with new three-high same-empty/full stillage authority and validate stacking/payload state.</x:v>
      </x:c>
      <x:c r="P17" s="22" t="str">
        <x:v>Manifest: SourceAssets/Candidate/PressShop/FinishedPanelStillage/Audit/implementation_manifest_v004.json</x:v>
      </x:c>
    </x:row>
    <x:row r="18">
      <x:c r="A18" s="22" t="str">
        <x:v>BIND-013</x:v>
      </x:c>
      <x:c r="B18" s="22" t="str">
        <x:v>LB_COIL_AGV_CANDIDATE_V001</x:v>
      </x:c>
      <x:c r="C18" s="22" t="str">
        <x:v>Coil-handling AGV</x:v>
      </x:c>
      <x:c r="D18" s="22" t="str">
        <x:v>coil AGV chassis and lift deck</x:v>
      </x:c>
      <x:c r="E18" s="22" t="str">
        <x:v>PressShop/MaterialHandling</x:v>
      </x:c>
      <x:c r="F18" s="22" t="str">
        <x:v>SourceAssets/IndustrialKit/MaterialHandling/CoilAGV/Candidate_v001/LB_CoilAGV_Candidate_v001.blend</x:v>
      </x:c>
      <x:c r="G18" s="22" t="str">
        <x:v>Content/LineBoss/IndustrialKit/MaterialHandling/CoilAGV/Candidate_v001</x:v>
      </x:c>
      <x:c r="H18" s="22" t="str">
        <x:v>UNREAL_IMPORTED_CANDIDATE</x:v>
      </x:c>
      <x:c r="I18" s="22" t="str">
        <x:v>CONTENT_PRESENT_CANDIDATE</x:v>
      </x:c>
      <x:c r="J18" s="22" t="str">
        <x:v>PASS</x:v>
      </x:c>
      <x:c r="K18" s="22" t="str">
        <x:v>UNREAL_IMPORTED_CANDIDATE</x:v>
      </x:c>
      <x:c r="L18" s="22" t="str"/>
      <x:c r="M18" s="22" t="str"/>
      <x:c r="N18" s="30" t="n">
        <x:v>46246</x:v>
      </x:c>
      <x:c r="O18" s="22" t="str">
        <x:v>Retain rear-wheel-steering gameplay contract and complete packaged visual/handling validation.</x:v>
      </x:c>
      <x:c r="P18" s="22" t="str">
        <x:v>Manifest: SourceAssets/IndustrialKit/MaterialHandling/CoilAGV/Candidate_v001/LB_CoilAGV_Candidate_v001_manifest.json</x:v>
      </x:c>
    </x:row>
    <x:row r="19">
      <x:c r="A19" s="22" t="str">
        <x:v>BIND-014</x:v>
      </x:c>
      <x:c r="B19" s="22" t="str">
        <x:v>LB_CR01_CLEANING_AMR</x:v>
      </x:c>
      <x:c r="C19" s="22" t="str">
        <x:v>CR01 cleaning AMR</x:v>
      </x:c>
      <x:c r="D19" s="22" t="str">
        <x:v>autonomous factory cleaning robot</x:v>
      </x:c>
      <x:c r="E19" s="22" t="str">
        <x:v>SupportRobots</x:v>
      </x:c>
      <x:c r="F19" s="22" t="str">
        <x:v>SourceAssets/Robots/LB_CR01_CleaningAMR/Blender/Candidate_v059/LB_CR01_ScrubberSilhouetteCandidate_v059.blend</x:v>
      </x:c>
      <x:c r="G19" s="22" t="str">
        <x:v>Content/LineBoss/Shared/SupportRobots/LB_CR01</x:v>
      </x:c>
      <x:c r="H19" s="22" t="str">
        <x:v>UNREAL_IMPORTED_CANDIDATE</x:v>
      </x:c>
      <x:c r="I19" s="22" t="str">
        <x:v>MULTIPLE_CANDIDATES_CONTENT_PRESENT</x:v>
      </x:c>
      <x:c r="J19" s="22" t="str">
        <x:v>PASS</x:v>
      </x:c>
      <x:c r="K19" s="22" t="str">
        <x:v>UNREAL_IMPORTED_CANDIDATE</x:v>
      </x:c>
      <x:c r="L19" s="22" t="str"/>
      <x:c r="M19" s="22" t="str"/>
      <x:c r="N19" s="30" t="n">
        <x:v>46246</x:v>
      </x:c>
      <x:c r="O19" s="22" t="str">
        <x:v>Promote one explicit release authority and finish brighter full-body repaint/lighting validation.</x:v>
      </x:c>
      <x:c r="P19" s="22" t="str">
        <x:v>Manifest: SourceAssets/Robots/LB_CR01_CleaningAMR/Validation/Candidate_v059/LB_CR01_UnrealChildStageManifest_v059.json</x:v>
      </x:c>
    </x:row>
    <x:row r="20">
      <x:c r="A20" s="22" t="str">
        <x:v>BIND-015</x:v>
      </x:c>
      <x:c r="B20" s="22" t="str">
        <x:v>LB_MR01_MAINTENANCE_ROBOT</x:v>
      </x:c>
      <x:c r="C20" s="22" t="str">
        <x:v>MR01 maintenance robot</x:v>
      </x:c>
      <x:c r="D20" s="22" t="str">
        <x:v>mobile autonomous maintenance robot</x:v>
      </x:c>
      <x:c r="E20" s="22" t="str">
        <x:v>SupportRobots</x:v>
      </x:c>
      <x:c r="F20" s="22" t="str">
        <x:v>SourceAssets/Robots/LB_MR01_MaintenanceRobot/Blender/Candidate_v022/LB_MR01_DockFitCandidate_v022.blend</x:v>
      </x:c>
      <x:c r="G20" s="22" t="str">
        <x:v>Content/LineBoss/Robots/Maintenance/MR01/Candidate_v022</x:v>
      </x:c>
      <x:c r="H20" s="22" t="str">
        <x:v>UNREAL_IMPORTED_CANDIDATE</x:v>
      </x:c>
      <x:c r="I20" s="22" t="str">
        <x:v>CANDIDATE_V022_CONTENT_PRESENT</x:v>
      </x:c>
      <x:c r="J20" s="22" t="str">
        <x:v>PASS</x:v>
      </x:c>
      <x:c r="K20" s="22" t="str">
        <x:v>UNREAL_IMPORTED_CANDIDATE</x:v>
      </x:c>
      <x:c r="L20" s="22" t="str"/>
      <x:c r="M20" s="22" t="str"/>
      <x:c r="N20" s="30" t="n">
        <x:v>46246</x:v>
      </x:c>
      <x:c r="O20" s="22" t="str">
        <x:v>Promote one release authority and finish orange-helmet/brighter full-body treatment validation.</x:v>
      </x:c>
      <x:c r="P20" s="22" t="str">
        <x:v>Manifest: SourceAssets/Robots/LB_MR01_MaintenanceRobot/Validation/Candidate_v013/LB_MR01_RuggedExportCandidate_v013_EVIDENCE_MANIFEST.json</x:v>
      </x:c>
    </x:row>
    <x:row r="21">
      <x:c r="A21" s="22" t="str">
        <x:v>BIND-016</x:v>
      </x:c>
      <x:c r="B21" s="22" t="str">
        <x:v>LB_ED_LINE_RUNTIME_V001_V002</x:v>
      </x:c>
      <x:c r="C21" s="22" t="str">
        <x:v>ED treatment and curing line</x:v>
      </x:c>
      <x:c r="D21" s="22" t="str">
        <x:v>modular e-coat treatment and curing line</x:v>
      </x:c>
      <x:c r="E21" s="22" t="str">
        <x:v>PaintShop</x:v>
      </x:c>
      <x:c r="F21" s="22" t="str">
        <x:v>SourceAssets/Candidate/PaintShop/EDLineRuntime_Candidate_v001</x:v>
      </x:c>
      <x:c r="G21" s="22" t="str">
        <x:v>Content/LineBoss/Candidates/PaintShop/EDLine/Runtime_v001; Content/LineBoss/Candidates/PaintShop/EDLine/Runtime_v002</x:v>
      </x:c>
      <x:c r="H21" s="22" t="str">
        <x:v>UNREAL_IMPORTED_CANDIDATE</x:v>
      </x:c>
      <x:c r="I21" s="22" t="str">
        <x:v>RUNTIME_V001_AND_V002_CONTENT_PRESENT</x:v>
      </x:c>
      <x:c r="J21" s="22" t="str">
        <x:v>PASS</x:v>
      </x:c>
      <x:c r="K21" s="22" t="str">
        <x:v>UNREAL_IMPORTED_CANDIDATE</x:v>
      </x:c>
      <x:c r="L21" s="22" t="str"/>
      <x:c r="M21" s="22" t="str"/>
      <x:c r="N21" s="30" t="n">
        <x:v>46246</x:v>
      </x:c>
      <x:c r="O21" s="22" t="str">
        <x:v>Resolve v001/v002 promotion authority and packaged process-flow validation.</x:v>
      </x:c>
      <x:c r="P21" s="22" t="str">
        <x:v>Manifest: SourceAssets/Candidate/PaintShop/EDLineRuntime_Candidate_v001/modular_export_manifest_v001.json</x:v>
      </x:c>
    </x:row>
    <x:row r="22">
      <x:c r="A22" s="22" t="str">
        <x:v>BIND-017</x:v>
      </x:c>
      <x:c r="B22" s="22" t="str">
        <x:v>LB_PRESS_TRAIN_A_COMPLETE_V660</x:v>
      </x:c>
      <x:c r="C22" s="22" t="str">
        <x:v>Complete Press Train A source assembly</x:v>
      </x:c>
      <x:c r="D22" s="22" t="str">
        <x:v>complete staged press train source assembly</x:v>
      </x:c>
      <x:c r="E22" s="22" t="str">
        <x:v>PressShop/PressTrains</x:v>
      </x:c>
      <x:c r="F22" s="22" t="str">
        <x:v>SourceAssets/Candidate/PressTrains/TrainA/CompleteTrainAAssembly_v660/CA_MW_PressTrainA_CompleteAssembly_v660.blend</x:v>
      </x:c>
      <x:c r="G22" s="22" t="str">
        <x:v>Content/LineBoss/Developer/Validation/PressTrains/CompleteTrainA_v662</x:v>
      </x:c>
      <x:c r="H22" s="22" t="str">
        <x:v>CURATED_SOURCE_AUTHORITY</x:v>
      </x:c>
      <x:c r="I22" s="22" t="str">
        <x:v>DEVELOPER_VALIDATION_CONTENT_PRESENT</x:v>
      </x:c>
      <x:c r="J22" s="22" t="str">
        <x:v>PASS</x:v>
      </x:c>
      <x:c r="K22" s="22" t="str">
        <x:v>CURATED_SOURCE_AUTHORITY</x:v>
      </x:c>
      <x:c r="L22" s="22" t="str"/>
      <x:c r="M22" s="22" t="str"/>
      <x:c r="N22" s="30" t="n">
        <x:v>46246</x:v>
      </x:c>
      <x:c r="O22" s="22" t="str">
        <x:v>Keep manifest as source authority; runtime build authority is governed separately by gameplay/placement systems.</x:v>
      </x:c>
      <x:c r="P22" s="22" t="str">
        <x:v>Manifest: SourceAssets/Candidate/PressTrains/TrainA/CompleteTrainAAssembly_v660/ASSEMBLY_MANIFEST_v660.json</x:v>
      </x:c>
    </x:row>
    <x:row r="23">
      <x:c r="A23" s="22" t="str">
        <x:v>BIND-018</x:v>
      </x:c>
      <x:c r="B23" s="22" t="str">
        <x:v>LB_PR004_ROBOTIC_DEPACK</x:v>
      </x:c>
      <x:c r="C23" s="22" t="str">
        <x:v>PR004 robotic depack robot</x:v>
      </x:c>
      <x:c r="D23" s="22" t="str">
        <x:v>coil wrap depack robot and tools</x:v>
      </x:c>
      <x:c r="E23" s="22" t="str">
        <x:v>PressShop</x:v>
      </x:c>
      <x:c r="F23" s="22" t="str">
        <x:v>SourceAssets/PR004/RoboticDepackRobot</x:v>
      </x:c>
      <x:c r="G23" s="22" t="str"/>
      <x:c r="H23" s="22" t="str">
        <x:v>CURATED_SOURCE_AUTHORITY</x:v>
      </x:c>
      <x:c r="I23" s="22" t="str">
        <x:v>SOURCE_AUTHORITY</x:v>
      </x:c>
      <x:c r="J23" s="22" t="str">
        <x:v>PASS</x:v>
      </x:c>
      <x:c r="K23" s="22" t="str">
        <x:v>CURATED_SOURCE_AUTHORITY</x:v>
      </x:c>
      <x:c r="L23" s="22" t="str"/>
      <x:c r="M23" s="22" t="str"/>
      <x:c r="N23" s="30" t="n">
        <x:v>46246</x:v>
      </x:c>
      <x:c r="O23" s="22" t="str">
        <x:v>Track against current Press Shop runtime implementation.</x:v>
      </x:c>
      <x:c r="P23" s="22" t="str">
        <x:v>Manifest: SourceAssets/PR004/RoboticDepackRobot/pr004_robotic_depack_robot_candidate_v002_manifest.json</x:v>
      </x:c>
    </x:row>
    <x:row r="24">
      <x:c r="A24" s="22" t="str">
        <x:v>BIND-019</x:v>
      </x:c>
      <x:c r="B24" s="22" t="str">
        <x:v>LB_PR005_PAYOFF_COIL</x:v>
      </x:c>
      <x:c r="C24" s="22" t="str">
        <x:v>PR005 payoff/decoiler subsystem</x:v>
      </x:c>
      <x:c r="D24" s="22" t="str">
        <x:v>coil payoff/decoiling machine modules</x:v>
      </x:c>
      <x:c r="E24" s="22" t="str">
        <x:v>PressShop</x:v>
      </x:c>
      <x:c r="F24" s="22" t="str">
        <x:v>SourceAssets/PR005/PayoffCoil</x:v>
      </x:c>
      <x:c r="G24" s="22" t="str"/>
      <x:c r="H24" s="22" t="str">
        <x:v>CURATED_SOURCE_AUTHORITY</x:v>
      </x:c>
      <x:c r="I24" s="22" t="str">
        <x:v>SOURCE_AUTHORITY</x:v>
      </x:c>
      <x:c r="J24" s="22" t="str">
        <x:v>PASS</x:v>
      </x:c>
      <x:c r="K24" s="22" t="str">
        <x:v>CURATED_SOURCE_AUTHORITY</x:v>
      </x:c>
      <x:c r="L24" s="22" t="str"/>
      <x:c r="M24" s="22" t="str"/>
      <x:c r="N24" s="30" t="n">
        <x:v>46246</x:v>
      </x:c>
      <x:c r="O24" s="22" t="str">
        <x:v>Keep related Headstock/Mandrel/PeelerThreader manifests linked through manifest index.</x:v>
      </x:c>
      <x:c r="P24" s="22" t="str">
        <x:v>Manifest: SourceAssets/PR005/PayoffCoil/module_manifest.json</x:v>
      </x:c>
    </x:row>
    <x:row r="25">
      <x:c r="A25" s="22" t="str">
        <x:v>BIND-020</x:v>
      </x:c>
      <x:c r="B25" s="22" t="str">
        <x:v>LB_PR006_PRECISION_LEVELLER</x:v>
      </x:c>
      <x:c r="C25" s="22" t="str">
        <x:v>PR006 precision cassette leveller</x:v>
      </x:c>
      <x:c r="D25" s="22" t="str">
        <x:v>precision strip levelling machine</x:v>
      </x:c>
      <x:c r="E25" s="22" t="str">
        <x:v>PressShop</x:v>
      </x:c>
      <x:c r="F25" s="22" t="str">
        <x:v>SourceAssets/PR006/PrecisionCassetteLeveller/Candidate_v001/PR006_PrecisionCassetteLeveller_Candidate_v001.blend</x:v>
      </x:c>
      <x:c r="G25" s="22" t="str"/>
      <x:c r="H25" s="22" t="str">
        <x:v>CURATED_SOURCE_AUTHORITY</x:v>
      </x:c>
      <x:c r="I25" s="22" t="str">
        <x:v>SOURCE_AUTHORITY</x:v>
      </x:c>
      <x:c r="J25" s="22" t="str">
        <x:v>PASS</x:v>
      </x:c>
      <x:c r="K25" s="22" t="str">
        <x:v>CURATED_SOURCE_AUTHORITY</x:v>
      </x:c>
      <x:c r="L25" s="22" t="str"/>
      <x:c r="M25" s="22" t="str"/>
      <x:c r="N25" s="30" t="n">
        <x:v>46246</x:v>
      </x:c>
      <x:c r="O25" s="22" t="str">
        <x:v>Track release-detail overlay and runtime implementation separately.</x:v>
      </x:c>
      <x:c r="P25" s="22" t="str">
        <x:v>Manifest: SourceAssets/PR006/PrecisionCassetteLeveller/Candidate_v001/pr006_precision_leveller_module_manifest_v001.json</x:v>
      </x:c>
    </x:row>
    <x:row r="26">
      <x:c r="A26" s="22" t="str">
        <x:v>BIND-021</x:v>
      </x:c>
      <x:c r="B26" s="22" t="str">
        <x:v>LB_PR007_WASHER_LUBE</x:v>
      </x:c>
      <x:c r="C26" s="22" t="str">
        <x:v>PR007 washer/lube unit</x:v>
      </x:c>
      <x:c r="D26" s="22" t="str">
        <x:v>strip washer and lubrication machine</x:v>
      </x:c>
      <x:c r="E26" s="22" t="str">
        <x:v>PressShop</x:v>
      </x:c>
      <x:c r="F26" s="22" t="str">
        <x:v>SourceAssets/PR007/WasherLubeUnit/Candidate_v001</x:v>
      </x:c>
      <x:c r="G26" s="22" t="str"/>
      <x:c r="H26" s="22" t="str">
        <x:v>CURATED_SOURCE_AUTHORITY</x:v>
      </x:c>
      <x:c r="I26" s="22" t="str">
        <x:v>SOURCE_AUTHORITY</x:v>
      </x:c>
      <x:c r="J26" s="22" t="str">
        <x:v>PASS</x:v>
      </x:c>
      <x:c r="K26" s="22" t="str">
        <x:v>CURATED_SOURCE_AUTHORITY</x:v>
      </x:c>
      <x:c r="L26" s="22" t="str"/>
      <x:c r="M26" s="22" t="str"/>
      <x:c r="N26" s="30" t="n">
        <x:v>46246</x:v>
      </x:c>
      <x:c r="O26" s="22" t="str">
        <x:v>Track release-detail authority and runtime implementation.</x:v>
      </x:c>
      <x:c r="P26" s="22" t="str">
        <x:v>Manifest: SourceAssets/PR007/WasherLubeUnit/Candidate_v001/pr007_washer_lube_module_manifest_v001.json</x:v>
      </x:c>
    </x:row>
    <x:row r="27">
      <x:c r="A27" s="22" t="str">
        <x:v>BIND-022</x:v>
      </x:c>
      <x:c r="B27" s="22" t="str">
        <x:v>LB_PR008_SERVO_BLANKING</x:v>
      </x:c>
      <x:c r="C27" s="22" t="str">
        <x:v>PR008 servo blanking line</x:v>
      </x:c>
      <x:c r="D27" s="22" t="str">
        <x:v>servo feed, prepunch, shear and discharge line</x:v>
      </x:c>
      <x:c r="E27" s="22" t="str">
        <x:v>PressShop</x:v>
      </x:c>
      <x:c r="F27" s="22" t="str">
        <x:v>SourceAssets/PR008/ServoBlankingLine/Candidate_v001</x:v>
      </x:c>
      <x:c r="G27" s="22" t="str"/>
      <x:c r="H27" s="22" t="str">
        <x:v>CURATED_SOURCE_AUTHORITY</x:v>
      </x:c>
      <x:c r="I27" s="22" t="str">
        <x:v>SOURCE_AUTHORITY</x:v>
      </x:c>
      <x:c r="J27" s="22" t="str">
        <x:v>PASS</x:v>
      </x:c>
      <x:c r="K27" s="22" t="str">
        <x:v>CURATED_SOURCE_AUTHORITY</x:v>
      </x:c>
      <x:c r="L27" s="22" t="str"/>
      <x:c r="M27" s="22" t="str"/>
      <x:c r="N27" s="30" t="n">
        <x:v>46246</x:v>
      </x:c>
      <x:c r="O27" s="22" t="str">
        <x:v>Keep detailed module manifests discoverable through manifest index.</x:v>
      </x:c>
      <x:c r="P27" s="22" t="str">
        <x:v>Manifest: SourceAssets/PR008/ServoBlankingLine/Candidate_v001/pr008_servo_blanking_module_manifest_v001.json</x:v>
      </x:c>
    </x:row>
    <x:row r="28">
      <x:c r="A28" s="22" t="str">
        <x:v>BIND-023</x:v>
      </x:c>
      <x:c r="B28" s="22" t="str">
        <x:v>LB_PR009_AUTOMATED_BLANK_STACKER</x:v>
      </x:c>
      <x:c r="C28" s="22" t="str">
        <x:v>PR009 automated blank stacker</x:v>
      </x:c>
      <x:c r="D28" s="22" t="str">
        <x:v>automated blank stacking and discharge machine</x:v>
      </x:c>
      <x:c r="E28" s="22" t="str">
        <x:v>PressShop</x:v>
      </x:c>
      <x:c r="F28" s="22" t="str">
        <x:v>SourceAssets/PR009/AutomatedBlankStacker/Candidate_v002</x:v>
      </x:c>
      <x:c r="G28" s="22" t="str"/>
      <x:c r="H28" s="22" t="str">
        <x:v>CURATED_SOURCE_AUTHORITY</x:v>
      </x:c>
      <x:c r="I28" s="22" t="str">
        <x:v>CANDIDATE_V002</x:v>
      </x:c>
      <x:c r="J28" s="22" t="str">
        <x:v>PASS</x:v>
      </x:c>
      <x:c r="K28" s="22" t="str">
        <x:v>CURATED_SOURCE_AUTHORITY</x:v>
      </x:c>
      <x:c r="L28" s="22" t="str"/>
      <x:c r="M28" s="22" t="str"/>
      <x:c r="N28" s="30" t="n">
        <x:v>46246</x:v>
      </x:c>
      <x:c r="O28" s="22" t="str">
        <x:v>Track Unreal staging/promotion authority.</x:v>
      </x:c>
      <x:c r="P28" s="22" t="str">
        <x:v>Manifest: SourceAssets/PR009/AutomatedBlankStacker/Candidate_v002/CANONICAL_INTAKE_MANIFEST_v002.json</x:v>
      </x:c>
    </x:row>
    <x:row r="29">
      <x:c r="A29" s="22" t="str">
        <x:v>BIND-024</x:v>
      </x:c>
      <x:c r="B29" s="22" t="str">
        <x:v>LB_PR010_FOUR_LANE_BUFFER</x:v>
      </x:c>
      <x:c r="C29" s="22" t="str">
        <x:v>PR010 four-lane blank buffer</x:v>
      </x:c>
      <x:c r="D29" s="22" t="str">
        <x:v>four-lane blank buffer and transfer zone</x:v>
      </x:c>
      <x:c r="E29" s="22" t="str">
        <x:v>PressShop</x:v>
      </x:c>
      <x:c r="F29" s="22" t="str">
        <x:v>SourceAssets/PR010/FourLaneBuffer/ReleaseArt_v103</x:v>
      </x:c>
      <x:c r="G29" s="22" t="str"/>
      <x:c r="H29" s="22" t="str">
        <x:v>CURATED_SOURCE_AUTHORITY</x:v>
      </x:c>
      <x:c r="I29" s="22" t="str">
        <x:v>RELEASE_ART_V103</x:v>
      </x:c>
      <x:c r="J29" s="22" t="str">
        <x:v>PASS</x:v>
      </x:c>
      <x:c r="K29" s="22" t="str">
        <x:v>CURATED_SOURCE_AUTHORITY</x:v>
      </x:c>
      <x:c r="L29" s="22" t="str"/>
      <x:c r="M29" s="22" t="str"/>
      <x:c r="N29" s="30" t="n">
        <x:v>46246</x:v>
      </x:c>
      <x:c r="O29" s="22" t="str">
        <x:v>Maintain navigation/collision release gates and packaged validation.</x:v>
      </x:c>
      <x:c r="P29" s="22" t="str">
        <x:v>Manifest: SourceAssets/PR010/FourLaneBuffer/ReleaseArt_v103/PR010_RELEASE_ART_MANIFEST_v103.json</x:v>
      </x:c>
    </x:row>
    <x:row r="30">
      <x:c r="A30" s="22" t="str">
        <x:v>BIND-025</x:v>
      </x:c>
      <x:c r="B30" s="22" t="str">
        <x:v>LB_C2040_PANEL_RUNTIME_V001</x:v>
      </x:c>
      <x:c r="C30" s="22" t="str">
        <x:v>Cairnwell 2040 exterior panel runtime set</x:v>
      </x:c>
      <x:c r="D30" s="22" t="str">
        <x:v>separate WIP exterior closure/body panels</x:v>
      </x:c>
      <x:c r="E30" s="22" t="str">
        <x:v>Vehicles/Cairnwell2040</x:v>
      </x:c>
      <x:c r="F30" s="22" t="str">
        <x:v>SourceAssets/Candidate/Vehicles/Cairnwell2040/PanelRuntime_v001</x:v>
      </x:c>
      <x:c r="G30" s="22" t="str">
        <x:v>Content/LineBoss/Candidates/Vehicles/Cairnwell2040/PanelRuntime_v001</x:v>
      </x:c>
      <x:c r="H30" s="22" t="str">
        <x:v>UNREAL_IMPORTED_CANDIDATE</x:v>
      </x:c>
      <x:c r="I30" s="22" t="str">
        <x:v>FBX_REIMPORT_VALIDATED</x:v>
      </x:c>
      <x:c r="J30" s="22" t="str">
        <x:v>PASS</x:v>
      </x:c>
      <x:c r="K30" s="22" t="str">
        <x:v>UNREAL_IMPORTED_CANDIDATE</x:v>
      </x:c>
      <x:c r="L30" s="22" t="str"/>
      <x:c r="M30" s="22" t="str"/>
      <x:c r="N30" s="30" t="n">
        <x:v>46246</x:v>
      </x:c>
      <x:c r="O30" s="22" t="str">
        <x:v>Fit and scale against approved lower-underbody and upper-BIW authorities.</x:v>
      </x:c>
      <x:c r="P30" s="22" t="str">
        <x:v>Manifest: SourceAssets/Candidate/Vehicles/Cairnwell2040/PanelRuntime_v001/MANIFEST_v001.json</x:v>
      </x:c>
    </x:row>
    <x:row r="31">
      <x:c r="A31" s="23" t="str">
        <x:v>BIND-026</x:v>
      </x:c>
      <x:c r="B31" s="23" t="str">
        <x:v>LB_CAIRNWELL_PRIMARY_BRAND_V001</x:v>
      </x:c>
      <x:c r="C31" s="23" t="str">
        <x:v>Cairnwell primary brand authority</x:v>
      </x:c>
      <x:c r="D31" s="23" t="str">
        <x:v>primary game/factory brand</x:v>
      </x:c>
      <x:c r="E31" s="23" t="str">
        <x:v>Brand</x:v>
      </x:c>
      <x:c r="F31" s="23" t="str">
        <x:v>SourceAssets/Brand/Cairnwell</x:v>
      </x:c>
      <x:c r="G31" s="23" t="str">
        <x:v>Content/LineBoss/Brand/Cairnwell</x:v>
      </x:c>
      <x:c r="H31" s="23" t="str">
        <x:v>CURATED_SOURCE_AUTHORITY</x:v>
      </x:c>
      <x:c r="I31" s="23" t="str">
        <x:v>CONTENT_VARIANTS_PRESENT</x:v>
      </x:c>
      <x:c r="J31" s="23" t="str">
        <x:v>PASS</x:v>
      </x:c>
      <x:c r="K31" s="23" t="str">
        <x:v>CURATED_SOURCE_AUTHORITY</x:v>
      </x:c>
      <x:c r="L31" s="23" t="str"/>
      <x:c r="M31" s="23" t="str"/>
      <x:c r="N31" s="31" t="n">
        <x:v>46246</x:v>
      </x:c>
      <x:c r="O31" s="23" t="str">
        <x:v>Keep logo variants and UI use tied to brand authority document.</x:v>
      </x:c>
      <x:c r="P31" s="23" t="str">
        <x:v>Manifest: SourceAssets/Brand/Cairnwell/cairnwell_primary_logo_candidate_v001_manifest.json</x:v>
      </x:c>
    </x:row>
  </x:sheetData>
  <x:mergeCells>
    <x:mergeCell ref="A1:P1"/>
    <x:mergeCell ref="A2:P2"/>
  </x:mergeCells>
  <x:conditionalFormatting sqref="K6:K31">
    <x:cfRule type="containsText" dxfId="12" priority="1" operator="containsText" text="REFERENCE_ONLY_RUNTIME_BLOCKED"/>
    <x:cfRule type="containsText" dxfId="13" priority="2" operator="containsText" text="RUNTIME_CANDIDATE_NOT_IMPORTED"/>
    <x:cfRule type="containsText" dxfId="14" priority="3" operator="containsText" text="UNREAL_IMPORTED_CANDIDATE"/>
    <x:cfRule type="containsText" dxfId="15" priority="4" operator="containsText" text="REJECTED_DO_NOT_USE"/>
    <x:cfRule type="containsText" dxfId="16" priority="5" operator="containsText" text="CURATED_SOURCE_AUTHORITY"/>
  </x:conditionalFormatting>
  <x:dataValidations count="1">
    <x:dataValidation type="list" sqref="K6:K31">
      <x:formula1>"REFERENCE_ONLY_RUNTIME_BLOCKED,RUNTIME_CANDIDATE_NOT_IMPORTED,UNREAL_IMPORTED_CANDIDATE,REJECTED_DO_NOT_USE,CURATED_SOURCE_AUTHORITY"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52ebfce7f8144d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46" hidden="0" customWidth="1"/>
    <x:col min="3" max="3" width="34" hidden="0" customWidth="1"/>
    <x:col min="4" max="4" width="34" hidden="0" customWidth="1"/>
    <x:col min="5" max="5" width="34" hidden="0" customWidth="1"/>
    <x:col min="6" max="6" width="14" hidden="0" customWidth="1"/>
  </x:cols>
  <x:sheetData>
    <x:row r="1" ht="34" customHeight="1">
      <x:c r="A1" s="3" t="str">
        <x:v>LINE BOSS  |  Catalog Controls &amp; Status Definitions</x:v>
      </x:c>
      <x:c r="B1" s="3" t="str">
        <x:v>LINE BOSS  |  Catalog Controls &amp; Status Definitions</x:v>
      </x:c>
      <x:c r="C1" s="3" t="str">
        <x:v>LINE BOSS  |  Catalog Controls &amp; Status Definitions</x:v>
      </x:c>
      <x:c r="D1" s="3" t="str">
        <x:v>LINE BOSS  |  Catalog Controls &amp; Status Definitions</x:v>
      </x:c>
      <x:c r="E1" s="3" t="str">
        <x:v>LINE BOSS  |  Catalog Controls &amp; Status Definitions</x:v>
      </x:c>
      <x:c r="F1" s="3" t="str">
        <x:v>LINE BOSS  |  Catalog Controls &amp; Status Definitions</x:v>
      </x:c>
    </x:row>
    <x:row r="2" ht="27" customHeight="1">
      <x:c r="A2" s="8" t="str">
        <x:v>This sheet is the controlled vocabulary and provenance anchor for the curated register. The exhaustive file ledger remains a separate machine-readable evidence source.</x:v>
      </x:c>
      <x:c r="B2" s="8" t="str">
        <x:v>This sheet is the controlled vocabulary and provenance anchor for the curated register. The exhaustive file ledger remains a separate machine-readable evidence source.</x:v>
      </x:c>
      <x:c r="C2" s="8" t="str">
        <x:v>This sheet is the controlled vocabulary and provenance anchor for the curated register. The exhaustive file ledger remains a separate machine-readable evidence source.</x:v>
      </x:c>
      <x:c r="D2" s="8" t="str">
        <x:v>This sheet is the controlled vocabulary and provenance anchor for the curated register. The exhaustive file ledger remains a separate machine-readable evidence source.</x:v>
      </x:c>
      <x:c r="E2" s="8" t="str">
        <x:v>This sheet is the controlled vocabulary and provenance anchor for the curated register. The exhaustive file ledger remains a separate machine-readable evidence source.</x:v>
      </x:c>
      <x:c r="F2" s="8" t="str">
        <x:v>This sheet is the controlled vocabulary and provenance anchor for the curated register. The exhaustive file ledger remains a separate machine-readable evidence source.</x:v>
      </x:c>
    </x:row>
    <x:row r="4" ht="29" customHeight="1">
      <x:c r="A4" s="13" t="str">
        <x:v>Control</x:v>
      </x:c>
      <x:c r="B4" s="13" t="str">
        <x:v>Value</x:v>
      </x:c>
    </x:row>
    <x:row r="5">
      <x:c r="A5" s="21" t="str">
        <x:v>Register version</x:v>
      </x:c>
      <x:c r="B5" s="21" t="str">
        <x:v>v001</x:v>
      </x:c>
    </x:row>
    <x:row r="6">
      <x:c r="A6" s="22" t="str">
        <x:v>Generated</x:v>
      </x:c>
      <x:c r="B6" s="24" t="n">
        <x:v>46246.520757638886</x:v>
      </x:c>
    </x:row>
    <x:row r="7">
      <x:c r="A7" s="22" t="str">
        <x:v>Curated scope</x:v>
      </x:c>
      <x:c r="B7" s="22" t="str">
        <x:v>Curated family and runtime authority register. Full per-file hashes live in sourceassets_file_ledger.jsonl. Curated register contains 26 families, including 7 supplied-today families and 21 supplied-today source files.</x:v>
      </x:c>
    </x:row>
    <x:row r="8">
      <x:c r="A8" s="22" t="str">
        <x:v>Exhaustive ledger files</x:v>
      </x:c>
      <x:c r="B8" s="25" t="n">
        <x:v>5990</x:v>
      </x:c>
    </x:row>
    <x:row r="9">
      <x:c r="A9" s="22" t="str">
        <x:v>Exhaustive ledger path</x:v>
      </x:c>
      <x:c r="B9" s="22" t="str">
        <x:v>C:\Users\greg_\Projects\LineBossCarFactory_Unreal 5.8\Docs\AssetCatalog\sourceassets_file_ledger.jsonl</x:v>
      </x:c>
    </x:row>
    <x:row r="10">
      <x:c r="A10" s="22" t="str">
        <x:v>Exhaustive ledger size</x:v>
      </x:c>
      <x:c r="B10" s="26" t="n">
        <x:v>39833778358</x:v>
      </x:c>
    </x:row>
    <x:row r="11">
      <x:c r="A11" s="22" t="str">
        <x:v>Ledger validation</x:v>
      </x:c>
      <x:c r="B11" s="22" t="str">
        <x:v>PASS — 5,990 / 5,990 entries, 0 errors (non-hash validation, 2026-08-12 13:19 BST)</x:v>
      </x:c>
    </x:row>
    <x:row r="12">
      <x:c r="A12" s="23" t="str">
        <x:v>Ledger SHA-256</x:v>
      </x:c>
      <x:c r="B12" s="23" t="str">
        <x:v>008E226C9607155EAA31BCDD33BE0D4D0EDECAC8484D577D008319DE4D0E6733</x:v>
      </x:c>
    </x:row>
    <x:row r="14" ht="29" customHeight="1">
      <x:c r="A14" s="13" t="str">
        <x:v>Status Type</x:v>
      </x:c>
      <x:c r="B14" s="13" t="str">
        <x:v>Value</x:v>
      </x:c>
      <x:c r="C14" s="13" t="str">
        <x:v>Meaning</x:v>
      </x:c>
      <x:c r="D14" s="13" t="str">
        <x:v>When to Use</x:v>
      </x:c>
      <x:c r="E14" s="13" t="str">
        <x:v>Exit Criteria</x:v>
      </x:c>
      <x:c r="F14" s="13" t="str">
        <x:v>Colour</x:v>
      </x:c>
    </x:row>
    <x:row r="15">
      <x:c r="A15" s="21" t="str">
        <x:v>Catalog Status</x:v>
      </x:c>
      <x:c r="B15" s="21" t="str">
        <x:v>REFERENCE_ONLY_RUNTIME_BLOCKED</x:v>
      </x:c>
      <x:c r="C15" s="21" t="str">
        <x:v>Preserved visual or engineering reference; raw source is not approved for runtime.</x:v>
      </x:c>
      <x:c r="D15" s="21" t="str">
        <x:v>Use only when supported by the master asset catalog evidence.</x:v>
      </x:c>
      <x:c r="E15" s="21" t="str">
        <x:v>Re-audit and update the master catalog before changing this value.</x:v>
      </x:c>
      <x:c r="F15" s="21" t="str">
        <x:v>#FFF2CC</x:v>
      </x:c>
    </x:row>
    <x:row r="16">
      <x:c r="A16" s="22" t="str">
        <x:v>Catalog Status</x:v>
      </x:c>
      <x:c r="B16" s="22" t="str">
        <x:v>RUNTIME_CANDIDATE_NOT_IMPORTED</x:v>
      </x:c>
      <x:c r="C16" s="22" t="str">
        <x:v>Optimized/runtime-oriented source exists but has no verified Unreal import authority.</x:v>
      </x:c>
      <x:c r="D16" s="22" t="str">
        <x:v>Use only when supported by the master asset catalog evidence.</x:v>
      </x:c>
      <x:c r="E16" s="22" t="str">
        <x:v>Re-audit and update the master catalog before changing this value.</x:v>
      </x:c>
      <x:c r="F16" s="22" t="str">
        <x:v>#DCEEFF</x:v>
      </x:c>
    </x:row>
    <x:row r="17">
      <x:c r="A17" s="22" t="str">
        <x:v>Catalog Status</x:v>
      </x:c>
      <x:c r="B17" s="22" t="str">
        <x:v>UNREAL_IMPORTED_CANDIDATE</x:v>
      </x:c>
      <x:c r="C17" s="22" t="str">
        <x:v>A candidate has verified Content assets, but is not declared final shipping authority.</x:v>
      </x:c>
      <x:c r="D17" s="22" t="str">
        <x:v>Use only when supported by the master asset catalog evidence.</x:v>
      </x:c>
      <x:c r="E17" s="22" t="str">
        <x:v>Re-audit and update the master catalog before changing this value.</x:v>
      </x:c>
      <x:c r="F17" s="22" t="str">
        <x:v>#DDF5E7</x:v>
      </x:c>
    </x:row>
    <x:row r="18">
      <x:c r="A18" s="22" t="str">
        <x:v>Catalog Status</x:v>
      </x:c>
      <x:c r="B18" s="22" t="str">
        <x:v>REJECTED_DO_NOT_USE</x:v>
      </x:c>
      <x:c r="C18" s="22" t="str">
        <x:v>Audited failure retained only for provenance and negative evidence.</x:v>
      </x:c>
      <x:c r="D18" s="22" t="str">
        <x:v>Use only when supported by the master asset catalog evidence.</x:v>
      </x:c>
      <x:c r="E18" s="22" t="str">
        <x:v>Re-audit and update the master catalog before changing this value.</x:v>
      </x:c>
      <x:c r="F18" s="22" t="str">
        <x:v>#FCE1E1</x:v>
      </x:c>
    </x:row>
    <x:row r="19">
      <x:c r="A19" s="22" t="str">
        <x:v>Catalog Status</x:v>
      </x:c>
      <x:c r="B19" s="22" t="str">
        <x:v>CURATED_SOURCE_AUTHORITY</x:v>
      </x:c>
      <x:c r="C19" s="22" t="str">
        <x:v>Curated source/manifest authority; runtime status is stated separately.</x:v>
      </x:c>
      <x:c r="D19" s="22" t="str">
        <x:v>Use only when supported by the master asset catalog evidence.</x:v>
      </x:c>
      <x:c r="E19" s="22" t="str">
        <x:v>Re-audit and update the master catalog before changing this value.</x:v>
      </x:c>
      <x:c r="F19" s="22" t="str">
        <x:v>#E7EBF0</x:v>
      </x:c>
    </x:row>
    <x:row r="20">
      <x:c r="A20" s="22" t="str">
        <x:v>Role Verdict</x:v>
      </x:c>
      <x:c r="B20" s="22" t="str">
        <x:v>PASS</x:v>
      </x:c>
      <x:c r="C20" s="22" t="str">
        <x:v>Observed geometry fits the stated role.</x:v>
      </x:c>
      <x:c r="D20" s="22" t="str">
        <x:v>Record the observed geometry-to-role audit result.</x:v>
      </x:c>
      <x:c r="E20" s="22" t="str">
        <x:v>Requires a new asset revision and role-gate audit.</x:v>
      </x:c>
      <x:c r="F20" s="22" t="str">
        <x:v>#DDF5E7</x:v>
      </x:c>
    </x:row>
    <x:row r="21">
      <x:c r="A21" s="22" t="str">
        <x:v>Role Verdict</x:v>
      </x:c>
      <x:c r="B21" s="22" t="str">
        <x:v>CONCEPT_PASS_EXACT_BLOCKED</x:v>
      </x:c>
      <x:c r="C21" s="22" t="str">
        <x:v>Core role fits, but one or more explicit acceptance requirements are absent.</x:v>
      </x:c>
      <x:c r="D21" s="22" t="str">
        <x:v>Record the observed geometry-to-role audit result.</x:v>
      </x:c>
      <x:c r="E21" s="22" t="str">
        <x:v>Requires a new asset revision and role-gate audit.</x:v>
      </x:c>
      <x:c r="F21" s="22" t="str">
        <x:v>#FFF2CC</x:v>
      </x:c>
    </x:row>
    <x:row r="22">
      <x:c r="A22" s="22" t="str">
        <x:v>Role Verdict</x:v>
      </x:c>
      <x:c r="B22" s="22" t="str">
        <x:v>PARTIAL</x:v>
      </x:c>
      <x:c r="C22" s="22" t="str">
        <x:v>Useful subset/reference only.</x:v>
      </x:c>
      <x:c r="D22" s="22" t="str">
        <x:v>Record the observed geometry-to-role audit result.</x:v>
      </x:c>
      <x:c r="E22" s="22" t="str">
        <x:v>Requires a new asset revision and role-gate audit.</x:v>
      </x:c>
      <x:c r="F22" s="22" t="str">
        <x:v>#FFF2CC</x:v>
      </x:c>
    </x:row>
    <x:row r="23">
      <x:c r="A23" s="22" t="str">
        <x:v>Role Verdict</x:v>
      </x:c>
      <x:c r="B23" s="22" t="str">
        <x:v>WRONG_ROLE</x:v>
      </x:c>
      <x:c r="C23" s="22" t="str">
        <x:v>Geometry is valid but not the claimed role.</x:v>
      </x:c>
      <x:c r="D23" s="22" t="str">
        <x:v>Record the observed geometry-to-role audit result.</x:v>
      </x:c>
      <x:c r="E23" s="22" t="str">
        <x:v>Requires a new asset revision and role-gate audit.</x:v>
      </x:c>
      <x:c r="F23" s="22" t="str">
        <x:v>#FCE1E1</x:v>
      </x:c>
    </x:row>
    <x:row r="24">
      <x:c r="A24" s="23" t="str">
        <x:v>Role Verdict</x:v>
      </x:c>
      <x:c r="B24" s="23" t="str">
        <x:v>REJECTED</x:v>
      </x:c>
      <x:c r="C24" s="23" t="str">
        <x:v>Geometry failed the role gate.</x:v>
      </x:c>
      <x:c r="D24" s="23" t="str">
        <x:v>Record the observed geometry-to-role audit result.</x:v>
      </x:c>
      <x:c r="E24" s="23" t="str">
        <x:v>Requires a new asset revision and role-gate audit.</x:v>
      </x:c>
      <x:c r="F24" s="23" t="str">
        <x:v>#FCE1E1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27e62b03da45406d"/>
  </x:tableParts>
</x:worksheet>
</file>